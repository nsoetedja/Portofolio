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nixonsoetedja/Documents/Information/Portofolio/Projects/CCJ Cameco/"/>
    </mc:Choice>
  </mc:AlternateContent>
  <xr:revisionPtr revIDLastSave="0" documentId="13_ncr:1_{0B554A38-DAF6-F044-9F40-A97836DD6A31}" xr6:coauthVersionLast="47" xr6:coauthVersionMax="47" xr10:uidLastSave="{00000000-0000-0000-0000-000000000000}"/>
  <bookViews>
    <workbookView xWindow="0" yWindow="740" windowWidth="30240" windowHeight="18900" tabRatio="500" activeTab="7" xr2:uid="{00000000-000D-0000-FFFF-FFFF00000000}"/>
  </bookViews>
  <sheets>
    <sheet name="Cover" sheetId="1" r:id="rId1"/>
    <sheet name="Income Statement" sheetId="2" r:id="rId2"/>
    <sheet name="Balance Sheet" sheetId="3" r:id="rId3"/>
    <sheet name="Cash Flow" sheetId="4" r:id="rId4"/>
    <sheet name="DCF" sheetId="5" r:id="rId5"/>
    <sheet name="Uranium Spot Rate" sheetId="6" r:id="rId6"/>
    <sheet name="Westinghouse" sheetId="7" r:id="rId7"/>
    <sheet name="Assumptions" sheetId="8" r:id="rId8"/>
    <sheet name="2026 Interim" sheetId="9" r:id="rId9"/>
    <sheet name="Segment Driver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4" i="6" l="1"/>
  <c r="D8" i="5"/>
  <c r="D9" i="5" s="1"/>
  <c r="D18" i="5" s="1"/>
  <c r="D15" i="5"/>
  <c r="D16" i="5"/>
  <c r="D44" i="5"/>
  <c r="I56" i="3"/>
  <c r="J56" i="3" s="1"/>
  <c r="C26" i="6"/>
  <c r="O8" i="6" s="1"/>
  <c r="I8" i="6" s="1"/>
  <c r="G37" i="10"/>
  <c r="F37" i="10"/>
  <c r="E37" i="10"/>
  <c r="D37" i="10"/>
  <c r="C37" i="10"/>
  <c r="B37" i="10"/>
  <c r="G36" i="10"/>
  <c r="F36" i="10"/>
  <c r="E36" i="10"/>
  <c r="D36" i="10"/>
  <c r="D38" i="10" s="1"/>
  <c r="C36" i="10"/>
  <c r="B36" i="10"/>
  <c r="F32" i="10"/>
  <c r="E32" i="10"/>
  <c r="D32" i="10"/>
  <c r="G26" i="10"/>
  <c r="F26" i="10"/>
  <c r="E26" i="10"/>
  <c r="D26" i="10"/>
  <c r="C26" i="10"/>
  <c r="G23" i="10"/>
  <c r="F23" i="10"/>
  <c r="E23" i="10"/>
  <c r="D23" i="10"/>
  <c r="C23" i="10"/>
  <c r="G21" i="10"/>
  <c r="F21" i="10"/>
  <c r="E21" i="10"/>
  <c r="D21" i="10"/>
  <c r="C21" i="10"/>
  <c r="G19" i="10"/>
  <c r="F19" i="10"/>
  <c r="E19" i="10"/>
  <c r="D19" i="10"/>
  <c r="C19" i="10"/>
  <c r="G15" i="10"/>
  <c r="F15" i="10"/>
  <c r="E15" i="10"/>
  <c r="D15" i="10"/>
  <c r="C15" i="10"/>
  <c r="F12" i="10"/>
  <c r="E12" i="10"/>
  <c r="D12" i="10"/>
  <c r="C12" i="10"/>
  <c r="G10" i="10"/>
  <c r="F10" i="10"/>
  <c r="E10" i="10"/>
  <c r="D10" i="10"/>
  <c r="C10" i="10"/>
  <c r="G8" i="10"/>
  <c r="F8" i="10"/>
  <c r="E8" i="10"/>
  <c r="D8" i="10"/>
  <c r="C8" i="10"/>
  <c r="G6" i="10"/>
  <c r="F6" i="10"/>
  <c r="E6" i="10"/>
  <c r="D6" i="10"/>
  <c r="C6" i="10"/>
  <c r="C159" i="9"/>
  <c r="C155" i="9"/>
  <c r="C154" i="9"/>
  <c r="C153" i="9"/>
  <c r="C152" i="9"/>
  <c r="C151" i="9"/>
  <c r="C150" i="9"/>
  <c r="C145" i="9"/>
  <c r="C144" i="9"/>
  <c r="C143" i="9"/>
  <c r="C142" i="9"/>
  <c r="C141" i="9"/>
  <c r="C135" i="9"/>
  <c r="C133" i="9"/>
  <c r="C132" i="9"/>
  <c r="C127" i="9"/>
  <c r="C126" i="9"/>
  <c r="C129" i="9" s="1"/>
  <c r="C125" i="9"/>
  <c r="E79" i="9"/>
  <c r="C134" i="9" s="1"/>
  <c r="C136" i="9" s="1"/>
  <c r="E75" i="9"/>
  <c r="G44" i="8"/>
  <c r="F44" i="8"/>
  <c r="E44" i="8"/>
  <c r="D44" i="8"/>
  <c r="G42" i="8"/>
  <c r="F42" i="8"/>
  <c r="E42" i="8"/>
  <c r="D42" i="8"/>
  <c r="G40" i="8"/>
  <c r="F40" i="8"/>
  <c r="E40" i="8"/>
  <c r="D40" i="8"/>
  <c r="L38" i="8"/>
  <c r="O38" i="8" s="1"/>
  <c r="G38" i="8"/>
  <c r="F38" i="8"/>
  <c r="E38" i="8"/>
  <c r="D38" i="8"/>
  <c r="L37" i="8"/>
  <c r="U37" i="8" s="1"/>
  <c r="G37" i="8"/>
  <c r="J37" i="8" s="1"/>
  <c r="L35" i="8"/>
  <c r="W35" i="8" s="1"/>
  <c r="G35" i="8"/>
  <c r="F35" i="8"/>
  <c r="E35" i="8"/>
  <c r="D35" i="8"/>
  <c r="L34" i="8"/>
  <c r="S34" i="8" s="1"/>
  <c r="G34" i="8"/>
  <c r="F34" i="8"/>
  <c r="E34" i="8"/>
  <c r="D34" i="8"/>
  <c r="W33" i="8"/>
  <c r="V33" i="8"/>
  <c r="U33" i="8"/>
  <c r="T33" i="8"/>
  <c r="S33" i="8"/>
  <c r="R33" i="8"/>
  <c r="Q33" i="8"/>
  <c r="P33" i="8"/>
  <c r="O33" i="8"/>
  <c r="N33" i="8"/>
  <c r="G33" i="8"/>
  <c r="F33" i="8"/>
  <c r="E33" i="8"/>
  <c r="D33" i="8"/>
  <c r="G19" i="8"/>
  <c r="F19" i="8"/>
  <c r="E19" i="8"/>
  <c r="D19" i="8"/>
  <c r="G18" i="8"/>
  <c r="L18" i="8" s="1"/>
  <c r="F18" i="8"/>
  <c r="E18" i="8"/>
  <c r="D18" i="8"/>
  <c r="G17" i="8"/>
  <c r="L17" i="8" s="1"/>
  <c r="F17" i="8"/>
  <c r="E17" i="8"/>
  <c r="D17" i="8"/>
  <c r="G16" i="8"/>
  <c r="K16" i="8" s="1"/>
  <c r="F16" i="8"/>
  <c r="E16" i="8"/>
  <c r="D16" i="8"/>
  <c r="G15" i="8"/>
  <c r="K15" i="8" s="1"/>
  <c r="F15" i="8"/>
  <c r="E15" i="8"/>
  <c r="D15" i="8"/>
  <c r="C12" i="8"/>
  <c r="J11" i="8"/>
  <c r="L11" i="8" s="1"/>
  <c r="B10" i="8"/>
  <c r="B9" i="8"/>
  <c r="G8" i="8"/>
  <c r="K8" i="8" s="1"/>
  <c r="F8" i="8"/>
  <c r="E8" i="8"/>
  <c r="D8" i="8"/>
  <c r="C26" i="7"/>
  <c r="C27" i="7" s="1"/>
  <c r="B26" i="7"/>
  <c r="B27" i="7" s="1"/>
  <c r="O11" i="7"/>
  <c r="N11" i="7"/>
  <c r="M11" i="7"/>
  <c r="L11" i="7"/>
  <c r="K11" i="7"/>
  <c r="J11" i="7"/>
  <c r="I11" i="7"/>
  <c r="H11" i="7"/>
  <c r="G11" i="7"/>
  <c r="F11" i="7"/>
  <c r="O9" i="7"/>
  <c r="N9" i="7"/>
  <c r="M9" i="7"/>
  <c r="L9" i="7"/>
  <c r="K9" i="7"/>
  <c r="J9" i="7"/>
  <c r="I9" i="7"/>
  <c r="H9" i="7"/>
  <c r="G9" i="7"/>
  <c r="F9" i="7"/>
  <c r="F8" i="7"/>
  <c r="F12" i="7" s="1"/>
  <c r="E8" i="7"/>
  <c r="E9" i="7" s="1"/>
  <c r="G31" i="6"/>
  <c r="H31" i="6" s="1"/>
  <c r="G19" i="6"/>
  <c r="I18" i="6"/>
  <c r="H18" i="6"/>
  <c r="H19" i="6" s="1"/>
  <c r="G18" i="6"/>
  <c r="F18" i="6"/>
  <c r="I17" i="6"/>
  <c r="H17" i="6"/>
  <c r="G17" i="6"/>
  <c r="F17" i="6"/>
  <c r="E17" i="6"/>
  <c r="E19" i="6" s="1"/>
  <c r="D17" i="6"/>
  <c r="D19" i="6" s="1"/>
  <c r="C17" i="6"/>
  <c r="C19" i="6" s="1"/>
  <c r="D58" i="5"/>
  <c r="D57" i="5"/>
  <c r="D56" i="5"/>
  <c r="M30" i="5"/>
  <c r="L30" i="5"/>
  <c r="K30" i="5"/>
  <c r="J30" i="5"/>
  <c r="D13" i="5"/>
  <c r="Q59" i="4"/>
  <c r="P59" i="4"/>
  <c r="O59" i="4"/>
  <c r="N59" i="4"/>
  <c r="H54" i="4"/>
  <c r="H53" i="4"/>
  <c r="H47" i="4"/>
  <c r="H46" i="4"/>
  <c r="H44" i="4"/>
  <c r="H43" i="4"/>
  <c r="H42" i="4"/>
  <c r="H49" i="4" s="1"/>
  <c r="Q38" i="4"/>
  <c r="P38" i="4"/>
  <c r="H36" i="4"/>
  <c r="H35" i="4"/>
  <c r="H34" i="4"/>
  <c r="Q32" i="4"/>
  <c r="P32" i="4"/>
  <c r="O32" i="4"/>
  <c r="O38" i="4" s="1"/>
  <c r="N32" i="4"/>
  <c r="N38" i="4" s="1"/>
  <c r="M32" i="4"/>
  <c r="L32" i="4"/>
  <c r="K32" i="4"/>
  <c r="J32" i="4"/>
  <c r="I32" i="4"/>
  <c r="H32" i="4"/>
  <c r="H27" i="4"/>
  <c r="H26" i="4"/>
  <c r="H25" i="4"/>
  <c r="Q24" i="4"/>
  <c r="P24" i="4"/>
  <c r="O24" i="4"/>
  <c r="N24" i="4"/>
  <c r="M24" i="4"/>
  <c r="L24" i="4"/>
  <c r="K24" i="4"/>
  <c r="J24" i="4"/>
  <c r="I24" i="4"/>
  <c r="H24" i="4"/>
  <c r="H21" i="4"/>
  <c r="H20" i="4"/>
  <c r="H19" i="4"/>
  <c r="Q18" i="4"/>
  <c r="P18" i="4"/>
  <c r="O18" i="4"/>
  <c r="N18" i="4"/>
  <c r="M18" i="4"/>
  <c r="L18" i="4"/>
  <c r="K18" i="4"/>
  <c r="J18" i="4"/>
  <c r="I18" i="4"/>
  <c r="H18" i="4"/>
  <c r="H17" i="4"/>
  <c r="Q16" i="4"/>
  <c r="P16" i="4"/>
  <c r="O16" i="4"/>
  <c r="N16" i="4"/>
  <c r="M16" i="4"/>
  <c r="L16" i="4"/>
  <c r="K16" i="4"/>
  <c r="J16" i="4"/>
  <c r="I16" i="4"/>
  <c r="H16" i="4"/>
  <c r="H15" i="4"/>
  <c r="H14" i="4"/>
  <c r="H13" i="4"/>
  <c r="H12" i="4"/>
  <c r="H11" i="4"/>
  <c r="H10" i="4"/>
  <c r="H29" i="4" s="1"/>
  <c r="H58" i="4" s="1"/>
  <c r="H8" i="4"/>
  <c r="L50" i="3"/>
  <c r="M50" i="3" s="1"/>
  <c r="N50" i="3" s="1"/>
  <c r="O50" i="3" s="1"/>
  <c r="P50" i="3" s="1"/>
  <c r="Q50" i="3" s="1"/>
  <c r="R50" i="3" s="1"/>
  <c r="K50" i="3"/>
  <c r="I50" i="3"/>
  <c r="J50" i="3" s="1"/>
  <c r="I49" i="3"/>
  <c r="J49" i="3" s="1"/>
  <c r="K49" i="3" s="1"/>
  <c r="L49" i="3" s="1"/>
  <c r="M49" i="3" s="1"/>
  <c r="N49" i="3" s="1"/>
  <c r="O49" i="3" s="1"/>
  <c r="P49" i="3" s="1"/>
  <c r="Q49" i="3" s="1"/>
  <c r="R49" i="3" s="1"/>
  <c r="I47" i="3"/>
  <c r="I46" i="3"/>
  <c r="J46" i="3" s="1"/>
  <c r="I40" i="3"/>
  <c r="J40" i="3" s="1"/>
  <c r="K40" i="3" s="1"/>
  <c r="L40" i="3" s="1"/>
  <c r="M40" i="3" s="1"/>
  <c r="N40" i="3" s="1"/>
  <c r="O40" i="3" s="1"/>
  <c r="P40" i="3" s="1"/>
  <c r="Q40" i="3" s="1"/>
  <c r="R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I38" i="3"/>
  <c r="J38" i="3" s="1"/>
  <c r="P34" i="3"/>
  <c r="Q34" i="3" s="1"/>
  <c r="R34" i="3" s="1"/>
  <c r="K34" i="3"/>
  <c r="L34" i="3" s="1"/>
  <c r="M34" i="3" s="1"/>
  <c r="N34" i="3" s="1"/>
  <c r="O34" i="3" s="1"/>
  <c r="I34" i="3"/>
  <c r="J34" i="3" s="1"/>
  <c r="I33" i="3"/>
  <c r="J33" i="3" s="1"/>
  <c r="K33" i="3" s="1"/>
  <c r="L33" i="3" s="1"/>
  <c r="M33" i="3" s="1"/>
  <c r="N33" i="3" s="1"/>
  <c r="O33" i="3" s="1"/>
  <c r="P33" i="3" s="1"/>
  <c r="Q33" i="3" s="1"/>
  <c r="R33" i="3" s="1"/>
  <c r="I31" i="3"/>
  <c r="J31" i="3" s="1"/>
  <c r="K31" i="3" s="1"/>
  <c r="L31" i="3" s="1"/>
  <c r="M31" i="3" s="1"/>
  <c r="N31" i="3" s="1"/>
  <c r="O31" i="3" s="1"/>
  <c r="P31" i="3" s="1"/>
  <c r="Q31" i="3" s="1"/>
  <c r="R31" i="3" s="1"/>
  <c r="K23" i="3"/>
  <c r="L23" i="3" s="1"/>
  <c r="M23" i="3" s="1"/>
  <c r="N23" i="3" s="1"/>
  <c r="O23" i="3" s="1"/>
  <c r="P23" i="3" s="1"/>
  <c r="Q23" i="3" s="1"/>
  <c r="R23" i="3" s="1"/>
  <c r="J23" i="3"/>
  <c r="I23" i="3"/>
  <c r="J21" i="3"/>
  <c r="K21" i="3" s="1"/>
  <c r="L21" i="3" s="1"/>
  <c r="M21" i="3" s="1"/>
  <c r="N21" i="3" s="1"/>
  <c r="O21" i="3" s="1"/>
  <c r="P21" i="3" s="1"/>
  <c r="Q21" i="3" s="1"/>
  <c r="R21" i="3" s="1"/>
  <c r="I21" i="3"/>
  <c r="N20" i="3"/>
  <c r="O20" i="3" s="1"/>
  <c r="P20" i="3" s="1"/>
  <c r="Q20" i="3" s="1"/>
  <c r="R20" i="3" s="1"/>
  <c r="J20" i="3"/>
  <c r="K20" i="3" s="1"/>
  <c r="L20" i="3" s="1"/>
  <c r="M20" i="3" s="1"/>
  <c r="I20" i="3"/>
  <c r="P15" i="3"/>
  <c r="Q15" i="3" s="1"/>
  <c r="R15" i="3" s="1"/>
  <c r="J15" i="3"/>
  <c r="K15" i="3" s="1"/>
  <c r="L15" i="3" s="1"/>
  <c r="M15" i="3" s="1"/>
  <c r="N15" i="3" s="1"/>
  <c r="O15" i="3" s="1"/>
  <c r="I15" i="3"/>
  <c r="J12" i="3"/>
  <c r="K12" i="3" s="1"/>
  <c r="L12" i="3" s="1"/>
  <c r="M12" i="3" s="1"/>
  <c r="N12" i="3" s="1"/>
  <c r="O12" i="3" s="1"/>
  <c r="P12" i="3" s="1"/>
  <c r="Q12" i="3" s="1"/>
  <c r="R12" i="3" s="1"/>
  <c r="I12" i="3"/>
  <c r="I38" i="2"/>
  <c r="I37" i="2"/>
  <c r="I36" i="2"/>
  <c r="I22" i="3" s="1"/>
  <c r="I35" i="2"/>
  <c r="I34" i="2"/>
  <c r="I33" i="2"/>
  <c r="I28" i="2"/>
  <c r="I27" i="2"/>
  <c r="I26" i="2"/>
  <c r="I25" i="2"/>
  <c r="I24" i="2"/>
  <c r="I18" i="2"/>
  <c r="I19" i="3" s="1"/>
  <c r="I17" i="2"/>
  <c r="I16" i="2"/>
  <c r="I19" i="2" s="1"/>
  <c r="I21" i="2" s="1"/>
  <c r="I30" i="2" s="1"/>
  <c r="F12" i="2"/>
  <c r="E12" i="2"/>
  <c r="D12" i="2"/>
  <c r="I10" i="2"/>
  <c r="H10" i="2"/>
  <c r="G10" i="2"/>
  <c r="F10" i="8" s="1"/>
  <c r="F10" i="2"/>
  <c r="E10" i="8" s="1"/>
  <c r="E10" i="2"/>
  <c r="D10" i="2"/>
  <c r="C10" i="2"/>
  <c r="I9" i="2"/>
  <c r="I12" i="2" s="1"/>
  <c r="H9" i="2"/>
  <c r="G9" i="2"/>
  <c r="F9" i="8" s="1"/>
  <c r="F9" i="2"/>
  <c r="E9" i="8" s="1"/>
  <c r="E9" i="2"/>
  <c r="D9" i="2"/>
  <c r="C9" i="2"/>
  <c r="U35" i="8" l="1"/>
  <c r="J17" i="8"/>
  <c r="V35" i="8"/>
  <c r="J16" i="8"/>
  <c r="L16" i="8" s="1"/>
  <c r="O16" i="8" s="1"/>
  <c r="J16" i="2" s="1"/>
  <c r="J8" i="8"/>
  <c r="L8" i="8" s="1"/>
  <c r="P8" i="8" s="1"/>
  <c r="K8" i="2" s="1"/>
  <c r="T35" i="8"/>
  <c r="V38" i="8"/>
  <c r="P38" i="8"/>
  <c r="O35" i="8"/>
  <c r="Q38" i="8"/>
  <c r="P35" i="8"/>
  <c r="N37" i="8"/>
  <c r="R38" i="8"/>
  <c r="T34" i="8"/>
  <c r="Q35" i="8"/>
  <c r="O37" i="8"/>
  <c r="S38" i="8"/>
  <c r="J15" i="8"/>
  <c r="J33" i="8"/>
  <c r="V34" i="8"/>
  <c r="R35" i="8"/>
  <c r="V37" i="8"/>
  <c r="T38" i="8"/>
  <c r="N35" i="8"/>
  <c r="S35" i="8"/>
  <c r="J38" i="8"/>
  <c r="U38" i="8"/>
  <c r="L15" i="8"/>
  <c r="R15" i="8" s="1"/>
  <c r="J19" i="8"/>
  <c r="K19" i="8" s="1"/>
  <c r="J34" i="8"/>
  <c r="U34" i="8"/>
  <c r="W37" i="8"/>
  <c r="J35" i="8"/>
  <c r="W34" i="8"/>
  <c r="O34" i="8"/>
  <c r="P34" i="8"/>
  <c r="J18" i="8"/>
  <c r="K18" i="8" s="1"/>
  <c r="R34" i="8"/>
  <c r="T37" i="8"/>
  <c r="N38" i="8"/>
  <c r="J40" i="8"/>
  <c r="K40" i="8" s="1"/>
  <c r="N34" i="8"/>
  <c r="P37" i="8"/>
  <c r="J42" i="8"/>
  <c r="Q37" i="8"/>
  <c r="R37" i="8"/>
  <c r="K42" i="8"/>
  <c r="Q34" i="8"/>
  <c r="S37" i="8"/>
  <c r="W38" i="8"/>
  <c r="J44" i="8"/>
  <c r="K44" i="8" s="1"/>
  <c r="K56" i="3"/>
  <c r="I26" i="4"/>
  <c r="E28" i="5" s="1"/>
  <c r="J33" i="2"/>
  <c r="K33" i="2" s="1"/>
  <c r="J26" i="4"/>
  <c r="F28" i="5" s="1"/>
  <c r="L56" i="3"/>
  <c r="J8" i="6"/>
  <c r="I19" i="6"/>
  <c r="C21" i="6" s="1"/>
  <c r="M8" i="6"/>
  <c r="F19" i="6"/>
  <c r="N8" i="6"/>
  <c r="J41" i="3"/>
  <c r="K38" i="3"/>
  <c r="K46" i="3"/>
  <c r="J47" i="3"/>
  <c r="K47" i="3" s="1"/>
  <c r="L47" i="3" s="1"/>
  <c r="M47" i="3" s="1"/>
  <c r="N47" i="3" s="1"/>
  <c r="O47" i="3" s="1"/>
  <c r="P47" i="3" s="1"/>
  <c r="Q47" i="3" s="1"/>
  <c r="R47" i="3" s="1"/>
  <c r="D28" i="8"/>
  <c r="D25" i="8"/>
  <c r="D26" i="8"/>
  <c r="D27" i="8"/>
  <c r="D24" i="8"/>
  <c r="H59" i="4"/>
  <c r="H60" i="4" s="1"/>
  <c r="H38" i="4"/>
  <c r="H52" i="4" s="1"/>
  <c r="H55" i="4" s="1"/>
  <c r="I54" i="4" s="1"/>
  <c r="E25" i="8"/>
  <c r="D12" i="8"/>
  <c r="E26" i="8"/>
  <c r="E27" i="8"/>
  <c r="E24" i="8"/>
  <c r="E28" i="8"/>
  <c r="I41" i="3"/>
  <c r="I40" i="2"/>
  <c r="I13" i="3"/>
  <c r="I30" i="3"/>
  <c r="I35" i="3" s="1"/>
  <c r="I43" i="3" s="1"/>
  <c r="I59" i="4"/>
  <c r="E30" i="5"/>
  <c r="I38" i="4"/>
  <c r="F30" i="5"/>
  <c r="J59" i="4"/>
  <c r="J38" i="4"/>
  <c r="G9" i="8"/>
  <c r="K9" i="8" s="1"/>
  <c r="H12" i="2"/>
  <c r="G10" i="8"/>
  <c r="J10" i="8" s="1"/>
  <c r="I14" i="3"/>
  <c r="I11" i="3"/>
  <c r="K38" i="5"/>
  <c r="J38" i="5"/>
  <c r="I38" i="5"/>
  <c r="H38" i="5"/>
  <c r="G38" i="5"/>
  <c r="E38" i="5"/>
  <c r="F38" i="5"/>
  <c r="L38" i="5"/>
  <c r="C138" i="9"/>
  <c r="C147" i="9" s="1"/>
  <c r="C157" i="9" s="1"/>
  <c r="C161" i="9" s="1"/>
  <c r="F26" i="8"/>
  <c r="F27" i="8"/>
  <c r="F24" i="8"/>
  <c r="F28" i="8"/>
  <c r="F25" i="8"/>
  <c r="E12" i="8"/>
  <c r="H30" i="5"/>
  <c r="L59" i="4"/>
  <c r="L38" i="4"/>
  <c r="I31" i="6"/>
  <c r="S18" i="8"/>
  <c r="R18" i="8"/>
  <c r="Q18" i="8"/>
  <c r="P18" i="8"/>
  <c r="O18" i="8"/>
  <c r="J18" i="2" s="1"/>
  <c r="J19" i="3" s="1"/>
  <c r="N18" i="8"/>
  <c r="W18" i="8"/>
  <c r="V18" i="8"/>
  <c r="U18" i="8"/>
  <c r="T18" i="8"/>
  <c r="I30" i="5"/>
  <c r="M38" i="4"/>
  <c r="M59" i="4"/>
  <c r="D9" i="8"/>
  <c r="G30" i="5"/>
  <c r="K59" i="4"/>
  <c r="K38" i="4"/>
  <c r="M38" i="5"/>
  <c r="G12" i="2"/>
  <c r="I24" i="3"/>
  <c r="D47" i="5"/>
  <c r="D39" i="10"/>
  <c r="D40" i="10"/>
  <c r="G40" i="10"/>
  <c r="D41" i="10"/>
  <c r="E32" i="6"/>
  <c r="E33" i="6" s="1"/>
  <c r="E34" i="6" s="1"/>
  <c r="D32" i="6"/>
  <c r="D33" i="6" s="1"/>
  <c r="D34" i="6" s="1"/>
  <c r="D9" i="6" s="1"/>
  <c r="C32" i="6"/>
  <c r="C33" i="6" s="1"/>
  <c r="C9" i="6" s="1"/>
  <c r="F32" i="6"/>
  <c r="U16" i="8"/>
  <c r="T16" i="8"/>
  <c r="S16" i="8"/>
  <c r="D10" i="8"/>
  <c r="C40" i="10"/>
  <c r="G41" i="10"/>
  <c r="E38" i="10"/>
  <c r="K8" i="6"/>
  <c r="F38" i="10"/>
  <c r="L8" i="6"/>
  <c r="G38" i="10"/>
  <c r="K17" i="8"/>
  <c r="K11" i="8"/>
  <c r="G8" i="6"/>
  <c r="B38" i="10"/>
  <c r="B41" i="10" s="1"/>
  <c r="H8" i="6"/>
  <c r="F10" i="7"/>
  <c r="G10" i="7" s="1"/>
  <c r="G8" i="7" s="1"/>
  <c r="C38" i="10"/>
  <c r="V16" i="8" l="1"/>
  <c r="R8" i="8"/>
  <c r="S8" i="8"/>
  <c r="T8" i="8"/>
  <c r="S15" i="8"/>
  <c r="V15" i="8"/>
  <c r="U8" i="8"/>
  <c r="P16" i="8"/>
  <c r="K16" i="2" s="1"/>
  <c r="V8" i="8"/>
  <c r="Q16" i="8"/>
  <c r="R16" i="8"/>
  <c r="Q8" i="8"/>
  <c r="L8" i="2" s="1"/>
  <c r="M8" i="2" s="1"/>
  <c r="N8" i="2" s="1"/>
  <c r="W8" i="8"/>
  <c r="W16" i="8"/>
  <c r="N8" i="8"/>
  <c r="N16" i="8"/>
  <c r="J9" i="8"/>
  <c r="L9" i="8" s="1"/>
  <c r="O9" i="8" s="1"/>
  <c r="O8" i="8"/>
  <c r="L19" i="8"/>
  <c r="W15" i="8"/>
  <c r="U15" i="8"/>
  <c r="Q15" i="8"/>
  <c r="P15" i="8"/>
  <c r="K15" i="2" s="1"/>
  <c r="O15" i="8"/>
  <c r="N15" i="8"/>
  <c r="L42" i="8"/>
  <c r="T15" i="8"/>
  <c r="I43" i="4"/>
  <c r="I49" i="4" s="1"/>
  <c r="I15" i="4"/>
  <c r="K26" i="4"/>
  <c r="G28" i="5" s="1"/>
  <c r="M56" i="3"/>
  <c r="H10" i="7"/>
  <c r="P17" i="8"/>
  <c r="O17" i="8"/>
  <c r="J17" i="2" s="1"/>
  <c r="N17" i="8"/>
  <c r="W17" i="8"/>
  <c r="V17" i="8"/>
  <c r="U17" i="8"/>
  <c r="T17" i="8"/>
  <c r="S17" i="8"/>
  <c r="R17" i="8"/>
  <c r="Q17" i="8"/>
  <c r="J15" i="4"/>
  <c r="L33" i="2"/>
  <c r="J43" i="4"/>
  <c r="J49" i="4" s="1"/>
  <c r="G39" i="10"/>
  <c r="F33" i="6"/>
  <c r="F34" i="6" s="1"/>
  <c r="F9" i="6" s="1"/>
  <c r="F10" i="6" s="1"/>
  <c r="G32" i="6"/>
  <c r="I10" i="4"/>
  <c r="E27" i="5" s="1"/>
  <c r="K18" i="2"/>
  <c r="K19" i="3" s="1"/>
  <c r="F39" i="10"/>
  <c r="F40" i="10"/>
  <c r="E39" i="10"/>
  <c r="E40" i="10"/>
  <c r="G12" i="8"/>
  <c r="L46" i="3"/>
  <c r="E41" i="10"/>
  <c r="J31" i="6"/>
  <c r="P9" i="8"/>
  <c r="L38" i="3"/>
  <c r="K41" i="3"/>
  <c r="L10" i="8"/>
  <c r="K10" i="8"/>
  <c r="F41" i="10"/>
  <c r="B40" i="10"/>
  <c r="C39" i="10"/>
  <c r="G26" i="8"/>
  <c r="J26" i="8" s="1"/>
  <c r="G27" i="8"/>
  <c r="J27" i="8" s="1"/>
  <c r="G24" i="8"/>
  <c r="J24" i="8" s="1"/>
  <c r="G28" i="8"/>
  <c r="J28" i="8" s="1"/>
  <c r="G25" i="8"/>
  <c r="J25" i="8" s="1"/>
  <c r="F12" i="8"/>
  <c r="O11" i="8"/>
  <c r="N11" i="8"/>
  <c r="W11" i="8"/>
  <c r="V11" i="8"/>
  <c r="U11" i="8"/>
  <c r="T11" i="8"/>
  <c r="S11" i="8"/>
  <c r="R11" i="8"/>
  <c r="Q11" i="8"/>
  <c r="P11" i="8"/>
  <c r="C41" i="10"/>
  <c r="S9" i="8" l="1"/>
  <c r="O8" i="2"/>
  <c r="P8" i="2" s="1"/>
  <c r="Q8" i="2" s="1"/>
  <c r="R8" i="2" s="1"/>
  <c r="T9" i="8"/>
  <c r="Q9" i="8"/>
  <c r="R9" i="8"/>
  <c r="L15" i="2"/>
  <c r="M15" i="2" s="1"/>
  <c r="N15" i="2" s="1"/>
  <c r="O15" i="2" s="1"/>
  <c r="P15" i="2" s="1"/>
  <c r="Q15" i="2" s="1"/>
  <c r="R15" i="2" s="1"/>
  <c r="V9" i="8"/>
  <c r="U9" i="8"/>
  <c r="W9" i="8"/>
  <c r="N9" i="8"/>
  <c r="W42" i="8"/>
  <c r="U42" i="8"/>
  <c r="Q42" i="8"/>
  <c r="S42" i="8"/>
  <c r="V42" i="8"/>
  <c r="N42" i="8"/>
  <c r="I42" i="2" s="1"/>
  <c r="I44" i="2" s="1"/>
  <c r="I48" i="3" s="1"/>
  <c r="O42" i="8"/>
  <c r="T42" i="8"/>
  <c r="P42" i="8"/>
  <c r="J12" i="8"/>
  <c r="L12" i="8" s="1"/>
  <c r="R42" i="8"/>
  <c r="L26" i="4"/>
  <c r="H28" i="5" s="1"/>
  <c r="N56" i="3"/>
  <c r="L26" i="8"/>
  <c r="K26" i="8"/>
  <c r="L28" i="8"/>
  <c r="K28" i="8"/>
  <c r="L24" i="8"/>
  <c r="K24" i="8"/>
  <c r="K31" i="6"/>
  <c r="K12" i="8"/>
  <c r="K17" i="2"/>
  <c r="L17" i="2" s="1"/>
  <c r="M17" i="2" s="1"/>
  <c r="N17" i="2" s="1"/>
  <c r="O17" i="2" s="1"/>
  <c r="P17" i="2" s="1"/>
  <c r="Q17" i="2" s="1"/>
  <c r="R17" i="2" s="1"/>
  <c r="L25" i="8"/>
  <c r="K25" i="8"/>
  <c r="M46" i="3"/>
  <c r="J10" i="4"/>
  <c r="F27" i="5" s="1"/>
  <c r="L18" i="2"/>
  <c r="H8" i="7"/>
  <c r="I10" i="7"/>
  <c r="K15" i="4"/>
  <c r="M33" i="2"/>
  <c r="K43" i="4"/>
  <c r="K49" i="4" s="1"/>
  <c r="R10" i="8"/>
  <c r="Q10" i="8"/>
  <c r="P10" i="8"/>
  <c r="O10" i="8"/>
  <c r="J10" i="2" s="1"/>
  <c r="N10" i="8"/>
  <c r="W10" i="8"/>
  <c r="V10" i="8"/>
  <c r="U10" i="8"/>
  <c r="T10" i="8"/>
  <c r="S10" i="8"/>
  <c r="L27" i="8"/>
  <c r="K27" i="8"/>
  <c r="G12" i="7"/>
  <c r="J36" i="2"/>
  <c r="G33" i="6"/>
  <c r="G34" i="6" s="1"/>
  <c r="G9" i="6" s="1"/>
  <c r="G10" i="6" s="1"/>
  <c r="J9" i="2" s="1"/>
  <c r="H32" i="6"/>
  <c r="M38" i="3"/>
  <c r="L41" i="3"/>
  <c r="L16" i="2"/>
  <c r="J19" i="2"/>
  <c r="I55" i="2" l="1"/>
  <c r="K19" i="2"/>
  <c r="O56" i="3"/>
  <c r="M26" i="4"/>
  <c r="I28" i="5" s="1"/>
  <c r="J12" i="2"/>
  <c r="J14" i="3" s="1"/>
  <c r="J10" i="7"/>
  <c r="I8" i="7"/>
  <c r="L31" i="6"/>
  <c r="I51" i="3"/>
  <c r="I53" i="3" s="1"/>
  <c r="I9" i="3" s="1"/>
  <c r="I16" i="3" s="1"/>
  <c r="I26" i="3" s="1"/>
  <c r="K10" i="4"/>
  <c r="G27" i="5" s="1"/>
  <c r="M18" i="2"/>
  <c r="J22" i="3"/>
  <c r="I17" i="4"/>
  <c r="N46" i="3"/>
  <c r="H12" i="7"/>
  <c r="K36" i="2"/>
  <c r="J17" i="4" s="1"/>
  <c r="K10" i="2"/>
  <c r="L10" i="2" s="1"/>
  <c r="M10" i="2" s="1"/>
  <c r="N10" i="2" s="1"/>
  <c r="O10" i="2" s="1"/>
  <c r="P10" i="2" s="1"/>
  <c r="Q10" i="2" s="1"/>
  <c r="R10" i="2" s="1"/>
  <c r="I60" i="2"/>
  <c r="I59" i="2"/>
  <c r="J30" i="3"/>
  <c r="J35" i="3" s="1"/>
  <c r="J43" i="3" s="1"/>
  <c r="J13" i="3"/>
  <c r="O24" i="8"/>
  <c r="N24" i="8"/>
  <c r="W24" i="8"/>
  <c r="V24" i="8"/>
  <c r="U24" i="8"/>
  <c r="T24" i="8"/>
  <c r="S24" i="8"/>
  <c r="R24" i="8"/>
  <c r="Q24" i="8"/>
  <c r="P24" i="8"/>
  <c r="K30" i="3"/>
  <c r="K35" i="3" s="1"/>
  <c r="K43" i="3" s="1"/>
  <c r="K13" i="3"/>
  <c r="N27" i="8"/>
  <c r="W27" i="8"/>
  <c r="V27" i="8"/>
  <c r="U27" i="8"/>
  <c r="T27" i="8"/>
  <c r="S27" i="8"/>
  <c r="R27" i="8"/>
  <c r="Q27" i="8"/>
  <c r="P27" i="8"/>
  <c r="O27" i="8"/>
  <c r="I32" i="6"/>
  <c r="H33" i="6"/>
  <c r="H34" i="6" s="1"/>
  <c r="H9" i="6" s="1"/>
  <c r="H10" i="6" s="1"/>
  <c r="K9" i="2" s="1"/>
  <c r="J11" i="3"/>
  <c r="R25" i="8"/>
  <c r="Q25" i="8"/>
  <c r="P25" i="8"/>
  <c r="O25" i="8"/>
  <c r="J25" i="2" s="1"/>
  <c r="N25" i="8"/>
  <c r="W25" i="8"/>
  <c r="V25" i="8"/>
  <c r="U25" i="8"/>
  <c r="T25" i="8"/>
  <c r="S25" i="8"/>
  <c r="L43" i="4"/>
  <c r="L49" i="4" s="1"/>
  <c r="L15" i="4"/>
  <c r="N33" i="2"/>
  <c r="M16" i="2"/>
  <c r="L19" i="2"/>
  <c r="Q28" i="8"/>
  <c r="P28" i="8"/>
  <c r="O28" i="8"/>
  <c r="N28" i="8"/>
  <c r="W28" i="8"/>
  <c r="V28" i="8"/>
  <c r="U28" i="8"/>
  <c r="T28" i="8"/>
  <c r="S28" i="8"/>
  <c r="R28" i="8"/>
  <c r="N38" i="3"/>
  <c r="M41" i="3"/>
  <c r="U26" i="8"/>
  <c r="T26" i="8"/>
  <c r="S26" i="8"/>
  <c r="R26" i="8"/>
  <c r="Q26" i="8"/>
  <c r="P26" i="8"/>
  <c r="O26" i="8"/>
  <c r="J26" i="2" s="1"/>
  <c r="N26" i="8"/>
  <c r="W26" i="8"/>
  <c r="V26" i="8"/>
  <c r="L19" i="3"/>
  <c r="J24" i="2" l="1"/>
  <c r="J28" i="2"/>
  <c r="I14" i="4" s="1"/>
  <c r="J27" i="2"/>
  <c r="N26" i="4"/>
  <c r="J28" i="5" s="1"/>
  <c r="P56" i="3"/>
  <c r="J21" i="2"/>
  <c r="J30" i="2" s="1"/>
  <c r="K22" i="3"/>
  <c r="J24" i="3"/>
  <c r="L13" i="3"/>
  <c r="L30" i="3"/>
  <c r="L35" i="3" s="1"/>
  <c r="L43" i="3" s="1"/>
  <c r="M19" i="2"/>
  <c r="N16" i="2"/>
  <c r="M31" i="6"/>
  <c r="L10" i="4"/>
  <c r="H27" i="5" s="1"/>
  <c r="N18" i="2"/>
  <c r="O38" i="3"/>
  <c r="N41" i="3"/>
  <c r="M43" i="4"/>
  <c r="M49" i="4" s="1"/>
  <c r="M15" i="4"/>
  <c r="O33" i="2"/>
  <c r="K12" i="2"/>
  <c r="I27" i="4"/>
  <c r="E29" i="5" s="1"/>
  <c r="M19" i="3"/>
  <c r="J32" i="6"/>
  <c r="I33" i="6"/>
  <c r="I34" i="6" s="1"/>
  <c r="I9" i="6" s="1"/>
  <c r="I10" i="6" s="1"/>
  <c r="O46" i="3"/>
  <c r="I12" i="7"/>
  <c r="L36" i="2"/>
  <c r="K17" i="4" s="1"/>
  <c r="K10" i="7"/>
  <c r="J8" i="7"/>
  <c r="O26" i="4" l="1"/>
  <c r="K28" i="5" s="1"/>
  <c r="Q56" i="3"/>
  <c r="L9" i="2"/>
  <c r="L12" i="2" s="1"/>
  <c r="J40" i="2"/>
  <c r="E23" i="5"/>
  <c r="J12" i="7"/>
  <c r="M36" i="2"/>
  <c r="L17" i="4" s="1"/>
  <c r="L10" i="7"/>
  <c r="K8" i="7"/>
  <c r="K28" i="2"/>
  <c r="J14" i="4" s="1"/>
  <c r="K27" i="2"/>
  <c r="K26" i="2"/>
  <c r="K14" i="3"/>
  <c r="K21" i="2"/>
  <c r="K11" i="3"/>
  <c r="K25" i="2"/>
  <c r="K24" i="2"/>
  <c r="N19" i="2"/>
  <c r="O16" i="2"/>
  <c r="N15" i="4"/>
  <c r="N43" i="4"/>
  <c r="N49" i="4" s="1"/>
  <c r="P33" i="2"/>
  <c r="M13" i="3"/>
  <c r="M30" i="3"/>
  <c r="M35" i="3" s="1"/>
  <c r="M43" i="3" s="1"/>
  <c r="P46" i="3"/>
  <c r="O41" i="3"/>
  <c r="P38" i="3"/>
  <c r="K32" i="6"/>
  <c r="J33" i="6"/>
  <c r="J34" i="6" s="1"/>
  <c r="J9" i="6" s="1"/>
  <c r="J10" i="6" s="1"/>
  <c r="L22" i="3"/>
  <c r="K24" i="3"/>
  <c r="M10" i="4"/>
  <c r="I27" i="5" s="1"/>
  <c r="O18" i="2"/>
  <c r="N19" i="3"/>
  <c r="N31" i="6"/>
  <c r="P26" i="4" l="1"/>
  <c r="L28" i="5" s="1"/>
  <c r="R56" i="3"/>
  <c r="Q26" i="4" s="1"/>
  <c r="M28" i="5" s="1"/>
  <c r="L28" i="2"/>
  <c r="K14" i="4" s="1"/>
  <c r="L27" i="2"/>
  <c r="L26" i="2"/>
  <c r="L24" i="2"/>
  <c r="L21" i="2"/>
  <c r="L25" i="2"/>
  <c r="L14" i="3"/>
  <c r="L11" i="3"/>
  <c r="M9" i="2"/>
  <c r="M12" i="2" s="1"/>
  <c r="N10" i="4"/>
  <c r="J27" i="5" s="1"/>
  <c r="P18" i="2"/>
  <c r="Q38" i="3"/>
  <c r="P41" i="3"/>
  <c r="M10" i="7"/>
  <c r="L8" i="7"/>
  <c r="O31" i="6"/>
  <c r="P16" i="2"/>
  <c r="O19" i="2"/>
  <c r="N13" i="3"/>
  <c r="N30" i="3"/>
  <c r="N35" i="3" s="1"/>
  <c r="N43" i="3" s="1"/>
  <c r="O19" i="3"/>
  <c r="J27" i="4"/>
  <c r="F29" i="5" s="1"/>
  <c r="E25" i="5"/>
  <c r="E32" i="5" s="1"/>
  <c r="E24" i="5"/>
  <c r="M22" i="3"/>
  <c r="L24" i="3"/>
  <c r="O43" i="4"/>
  <c r="O49" i="4" s="1"/>
  <c r="O15" i="4"/>
  <c r="Q33" i="2"/>
  <c r="L32" i="6"/>
  <c r="K33" i="6"/>
  <c r="K34" i="6" s="1"/>
  <c r="K9" i="6" s="1"/>
  <c r="K10" i="6" s="1"/>
  <c r="K12" i="7"/>
  <c r="N36" i="2"/>
  <c r="M17" i="4" s="1"/>
  <c r="Q46" i="3"/>
  <c r="K30" i="2"/>
  <c r="J42" i="2"/>
  <c r="J44" i="2" s="1"/>
  <c r="K27" i="4" l="1"/>
  <c r="G29" i="5" s="1"/>
  <c r="M14" i="3"/>
  <c r="M27" i="2"/>
  <c r="M24" i="2"/>
  <c r="L30" i="2"/>
  <c r="G23" i="5" s="1"/>
  <c r="M21" i="2"/>
  <c r="M25" i="2"/>
  <c r="M26" i="2"/>
  <c r="N9" i="2"/>
  <c r="N12" i="2" s="1"/>
  <c r="M28" i="2"/>
  <c r="L14" i="4" s="1"/>
  <c r="M11" i="3"/>
  <c r="Q16" i="2"/>
  <c r="P19" i="2"/>
  <c r="R46" i="3"/>
  <c r="I8" i="4"/>
  <c r="I29" i="4" s="1"/>
  <c r="J55" i="2"/>
  <c r="J48" i="3"/>
  <c r="K40" i="2"/>
  <c r="F23" i="5"/>
  <c r="O30" i="3"/>
  <c r="O35" i="3" s="1"/>
  <c r="O43" i="3" s="1"/>
  <c r="O13" i="3"/>
  <c r="N22" i="3"/>
  <c r="M24" i="3"/>
  <c r="E39" i="5"/>
  <c r="N10" i="7"/>
  <c r="M8" i="7"/>
  <c r="M32" i="6"/>
  <c r="L33" i="6"/>
  <c r="L34" i="6" s="1"/>
  <c r="L9" i="6" s="1"/>
  <c r="L10" i="6" s="1"/>
  <c r="P19" i="3"/>
  <c r="Q41" i="3"/>
  <c r="R38" i="3"/>
  <c r="R41" i="3" s="1"/>
  <c r="L12" i="7"/>
  <c r="O36" i="2"/>
  <c r="N17" i="4" s="1"/>
  <c r="P43" i="4"/>
  <c r="P49" i="4" s="1"/>
  <c r="R33" i="2"/>
  <c r="P15" i="4"/>
  <c r="O10" i="4"/>
  <c r="K27" i="5" s="1"/>
  <c r="Q18" i="2"/>
  <c r="L27" i="4" l="1"/>
  <c r="H29" i="5" s="1"/>
  <c r="L40" i="2"/>
  <c r="L42" i="2" s="1"/>
  <c r="L44" i="2" s="1"/>
  <c r="M30" i="2"/>
  <c r="H23" i="5" s="1"/>
  <c r="H25" i="5" s="1"/>
  <c r="H32" i="5" s="1"/>
  <c r="H39" i="5" s="1"/>
  <c r="G25" i="5"/>
  <c r="G32" i="5" s="1"/>
  <c r="G39" i="5" s="1"/>
  <c r="G24" i="5"/>
  <c r="N28" i="2"/>
  <c r="M14" i="4" s="1"/>
  <c r="N26" i="2"/>
  <c r="N25" i="2"/>
  <c r="N11" i="3"/>
  <c r="N27" i="2"/>
  <c r="N14" i="3"/>
  <c r="N21" i="2"/>
  <c r="N24" i="2"/>
  <c r="O9" i="2"/>
  <c r="O12" i="2" s="1"/>
  <c r="K8" i="4"/>
  <c r="K29" i="4" s="1"/>
  <c r="L55" i="2"/>
  <c r="P10" i="4"/>
  <c r="L27" i="5" s="1"/>
  <c r="R18" i="2"/>
  <c r="Q10" i="4" s="1"/>
  <c r="M27" i="5" s="1"/>
  <c r="Q43" i="4"/>
  <c r="Q49" i="4" s="1"/>
  <c r="Q15" i="4"/>
  <c r="J51" i="3"/>
  <c r="J53" i="3" s="1"/>
  <c r="J9" i="3" s="1"/>
  <c r="J16" i="3" s="1"/>
  <c r="J26" i="3" s="1"/>
  <c r="I58" i="4"/>
  <c r="I60" i="4" s="1"/>
  <c r="I52" i="4"/>
  <c r="I55" i="4" s="1"/>
  <c r="J54" i="4" s="1"/>
  <c r="J59" i="2"/>
  <c r="J60" i="2"/>
  <c r="O22" i="3"/>
  <c r="N24" i="3"/>
  <c r="N32" i="6"/>
  <c r="M33" i="6"/>
  <c r="M34" i="6" s="1"/>
  <c r="M9" i="6" s="1"/>
  <c r="M10" i="6" s="1"/>
  <c r="Q19" i="3"/>
  <c r="F25" i="5"/>
  <c r="F32" i="5" s="1"/>
  <c r="F24" i="5"/>
  <c r="P13" i="3"/>
  <c r="P30" i="3"/>
  <c r="P35" i="3" s="1"/>
  <c r="P43" i="3" s="1"/>
  <c r="M12" i="7"/>
  <c r="P36" i="2"/>
  <c r="O17" i="4" s="1"/>
  <c r="O10" i="7"/>
  <c r="O8" i="7" s="1"/>
  <c r="N8" i="7"/>
  <c r="K42" i="2"/>
  <c r="K44" i="2" s="1"/>
  <c r="R16" i="2"/>
  <c r="Q19" i="2"/>
  <c r="M27" i="4" l="1"/>
  <c r="I29" i="5" s="1"/>
  <c r="M40" i="2"/>
  <c r="M42" i="2" s="1"/>
  <c r="M44" i="2" s="1"/>
  <c r="H24" i="5"/>
  <c r="N30" i="2"/>
  <c r="R19" i="2"/>
  <c r="R30" i="3" s="1"/>
  <c r="R35" i="3" s="1"/>
  <c r="R43" i="3" s="1"/>
  <c r="O14" i="3"/>
  <c r="O26" i="2"/>
  <c r="O25" i="2"/>
  <c r="O11" i="3"/>
  <c r="O27" i="2"/>
  <c r="O21" i="2"/>
  <c r="O24" i="2"/>
  <c r="O28" i="2"/>
  <c r="N14" i="4" s="1"/>
  <c r="P9" i="2"/>
  <c r="P12" i="2" s="1"/>
  <c r="F39" i="5"/>
  <c r="J8" i="4"/>
  <c r="J29" i="4" s="1"/>
  <c r="K55" i="2"/>
  <c r="K48" i="3"/>
  <c r="O32" i="6"/>
  <c r="O33" i="6" s="1"/>
  <c r="O9" i="6" s="1"/>
  <c r="O10" i="6" s="1"/>
  <c r="R9" i="2" s="1"/>
  <c r="N33" i="6"/>
  <c r="N34" i="6" s="1"/>
  <c r="N9" i="6" s="1"/>
  <c r="N10" i="6" s="1"/>
  <c r="P22" i="3"/>
  <c r="O24" i="3"/>
  <c r="Q13" i="3"/>
  <c r="Q30" i="3"/>
  <c r="Q35" i="3" s="1"/>
  <c r="Q43" i="3" s="1"/>
  <c r="L8" i="4"/>
  <c r="L29" i="4" s="1"/>
  <c r="M55" i="2"/>
  <c r="I23" i="5"/>
  <c r="N40" i="2"/>
  <c r="N12" i="7"/>
  <c r="Q36" i="2"/>
  <c r="P17" i="4" s="1"/>
  <c r="L59" i="2"/>
  <c r="L60" i="2"/>
  <c r="O12" i="7"/>
  <c r="R36" i="2"/>
  <c r="Q17" i="4" s="1"/>
  <c r="R19" i="3"/>
  <c r="K58" i="4"/>
  <c r="K60" i="4" s="1"/>
  <c r="K52" i="4"/>
  <c r="R13" i="3" l="1"/>
  <c r="N27" i="4"/>
  <c r="J29" i="5" s="1"/>
  <c r="O30" i="2"/>
  <c r="P14" i="3"/>
  <c r="P26" i="2"/>
  <c r="P27" i="2"/>
  <c r="P28" i="2"/>
  <c r="O14" i="4" s="1"/>
  <c r="P21" i="2"/>
  <c r="P25" i="2"/>
  <c r="P24" i="2"/>
  <c r="P11" i="3"/>
  <c r="Q9" i="2"/>
  <c r="Q12" i="2" s="1"/>
  <c r="R12" i="2"/>
  <c r="R14" i="3" s="1"/>
  <c r="Q22" i="3"/>
  <c r="P24" i="3"/>
  <c r="J23" i="5"/>
  <c r="O40" i="2"/>
  <c r="M59" i="2"/>
  <c r="M60" i="2"/>
  <c r="L48" i="3"/>
  <c r="K51" i="3"/>
  <c r="K53" i="3" s="1"/>
  <c r="K9" i="3" s="1"/>
  <c r="K16" i="3" s="1"/>
  <c r="K26" i="3" s="1"/>
  <c r="N42" i="2"/>
  <c r="N44" i="2" s="1"/>
  <c r="I25" i="5"/>
  <c r="I32" i="5" s="1"/>
  <c r="I24" i="5"/>
  <c r="L52" i="4"/>
  <c r="L58" i="4"/>
  <c r="L60" i="4" s="1"/>
  <c r="K60" i="2"/>
  <c r="K59" i="2"/>
  <c r="J52" i="4"/>
  <c r="J55" i="4" s="1"/>
  <c r="K54" i="4" s="1"/>
  <c r="K55" i="4" s="1"/>
  <c r="L54" i="4" s="1"/>
  <c r="J58" i="4"/>
  <c r="J60" i="4" s="1"/>
  <c r="O27" i="4" l="1"/>
  <c r="K29" i="5" s="1"/>
  <c r="P30" i="2"/>
  <c r="Q24" i="2"/>
  <c r="Q14" i="3"/>
  <c r="Q11" i="3"/>
  <c r="P27" i="4" s="1"/>
  <c r="L29" i="5" s="1"/>
  <c r="Q25" i="2"/>
  <c r="Q28" i="2"/>
  <c r="P14" i="4" s="1"/>
  <c r="Q27" i="2"/>
  <c r="Q21" i="2"/>
  <c r="Q26" i="2"/>
  <c r="R27" i="2"/>
  <c r="R21" i="2"/>
  <c r="R26" i="2"/>
  <c r="R24" i="2"/>
  <c r="R25" i="2"/>
  <c r="R28" i="2"/>
  <c r="Q14" i="4" s="1"/>
  <c r="R11" i="3"/>
  <c r="I39" i="5"/>
  <c r="L55" i="4"/>
  <c r="M54" i="4" s="1"/>
  <c r="M8" i="4"/>
  <c r="M29" i="4" s="1"/>
  <c r="N55" i="2"/>
  <c r="M48" i="3"/>
  <c r="L51" i="3"/>
  <c r="L53" i="3" s="1"/>
  <c r="L9" i="3" s="1"/>
  <c r="L16" i="3" s="1"/>
  <c r="L26" i="3" s="1"/>
  <c r="K23" i="5"/>
  <c r="P40" i="2"/>
  <c r="O42" i="2"/>
  <c r="O44" i="2" s="1"/>
  <c r="J24" i="5"/>
  <c r="J25" i="5"/>
  <c r="J32" i="5" s="1"/>
  <c r="J39" i="5" s="1"/>
  <c r="R22" i="3"/>
  <c r="R24" i="3" s="1"/>
  <c r="Q24" i="3"/>
  <c r="Q27" i="4" l="1"/>
  <c r="M29" i="5" s="1"/>
  <c r="Q30" i="2"/>
  <c r="R30" i="2"/>
  <c r="M23" i="5" s="1"/>
  <c r="N8" i="4"/>
  <c r="N29" i="4" s="1"/>
  <c r="O55" i="2"/>
  <c r="P42" i="2"/>
  <c r="P44" i="2" s="1"/>
  <c r="N48" i="3"/>
  <c r="M51" i="3"/>
  <c r="M53" i="3" s="1"/>
  <c r="M9" i="3" s="1"/>
  <c r="M16" i="3" s="1"/>
  <c r="M26" i="3" s="1"/>
  <c r="N59" i="2"/>
  <c r="N60" i="2"/>
  <c r="K24" i="5"/>
  <c r="K25" i="5"/>
  <c r="K32" i="5" s="1"/>
  <c r="K39" i="5" s="1"/>
  <c r="L23" i="5"/>
  <c r="Q40" i="2"/>
  <c r="M52" i="4"/>
  <c r="M55" i="4" s="1"/>
  <c r="N54" i="4" s="1"/>
  <c r="M58" i="4"/>
  <c r="M60" i="4" s="1"/>
  <c r="R40" i="2" l="1"/>
  <c r="R42" i="2" s="1"/>
  <c r="R44" i="2" s="1"/>
  <c r="R55" i="2" s="1"/>
  <c r="M25" i="5"/>
  <c r="M32" i="5" s="1"/>
  <c r="D45" i="5" s="1"/>
  <c r="D46" i="5" s="1"/>
  <c r="D48" i="5" s="1"/>
  <c r="D53" i="5" s="1"/>
  <c r="M24" i="5"/>
  <c r="L24" i="5"/>
  <c r="L25" i="5"/>
  <c r="L32" i="5" s="1"/>
  <c r="L39" i="5" s="1"/>
  <c r="Q42" i="2"/>
  <c r="Q44" i="2" s="1"/>
  <c r="O48" i="3"/>
  <c r="N51" i="3"/>
  <c r="N53" i="3" s="1"/>
  <c r="N9" i="3" s="1"/>
  <c r="N16" i="3" s="1"/>
  <c r="N26" i="3" s="1"/>
  <c r="O8" i="4"/>
  <c r="O29" i="4" s="1"/>
  <c r="P55" i="2"/>
  <c r="O59" i="2"/>
  <c r="O60" i="2"/>
  <c r="N52" i="4"/>
  <c r="N55" i="4" s="1"/>
  <c r="O54" i="4" s="1"/>
  <c r="N58" i="4"/>
  <c r="N60" i="4" s="1"/>
  <c r="D76" i="5" l="1"/>
  <c r="M39" i="5"/>
  <c r="Q8" i="4"/>
  <c r="Q29" i="4" s="1"/>
  <c r="G75" i="5"/>
  <c r="J71" i="5"/>
  <c r="G76" i="5"/>
  <c r="I75" i="5"/>
  <c r="G72" i="5"/>
  <c r="F76" i="5"/>
  <c r="G74" i="5"/>
  <c r="I73" i="5"/>
  <c r="I72" i="5"/>
  <c r="I74" i="5"/>
  <c r="H76" i="5"/>
  <c r="J73" i="5"/>
  <c r="J76" i="5"/>
  <c r="D73" i="5"/>
  <c r="F71" i="5"/>
  <c r="F72" i="5"/>
  <c r="H71" i="5"/>
  <c r="E74" i="5"/>
  <c r="H75" i="5"/>
  <c r="J74" i="5"/>
  <c r="D75" i="5"/>
  <c r="F73" i="5"/>
  <c r="E72" i="5"/>
  <c r="E76" i="5"/>
  <c r="F74" i="5"/>
  <c r="H72" i="5"/>
  <c r="G73" i="5"/>
  <c r="F75" i="5"/>
  <c r="D71" i="5"/>
  <c r="I76" i="5"/>
  <c r="D52" i="5"/>
  <c r="D54" i="5" s="1"/>
  <c r="D59" i="5" s="1"/>
  <c r="D62" i="5" s="1"/>
  <c r="I71" i="5"/>
  <c r="J75" i="5"/>
  <c r="G71" i="5"/>
  <c r="H73" i="5"/>
  <c r="E73" i="5"/>
  <c r="E71" i="5"/>
  <c r="H74" i="5" a="1"/>
  <c r="H74" i="5" s="1"/>
  <c r="Q55" i="2"/>
  <c r="P8" i="4"/>
  <c r="P29" i="4" s="1"/>
  <c r="D74" i="5"/>
  <c r="O52" i="4"/>
  <c r="O55" i="4" s="1"/>
  <c r="P54" i="4" s="1"/>
  <c r="O58" i="4"/>
  <c r="O60" i="4" s="1"/>
  <c r="P48" i="3"/>
  <c r="O51" i="3"/>
  <c r="O53" i="3" s="1"/>
  <c r="O9" i="3" s="1"/>
  <c r="O16" i="3" s="1"/>
  <c r="O26" i="3" s="1"/>
  <c r="J72" i="5"/>
  <c r="E75" i="5"/>
  <c r="Q52" i="4"/>
  <c r="Q58" i="4"/>
  <c r="Q60" i="4" s="1"/>
  <c r="D72" i="5"/>
  <c r="P59" i="2"/>
  <c r="P60" i="2"/>
  <c r="R60" i="2"/>
  <c r="R59" i="2"/>
  <c r="D63" i="5" l="1"/>
  <c r="D66" i="5"/>
  <c r="P52" i="4"/>
  <c r="P55" i="4" s="1"/>
  <c r="Q54" i="4" s="1"/>
  <c r="Q55" i="4" s="1"/>
  <c r="P58" i="4"/>
  <c r="P60" i="4" s="1"/>
  <c r="Q48" i="3"/>
  <c r="P51" i="3"/>
  <c r="P53" i="3" s="1"/>
  <c r="P9" i="3" s="1"/>
  <c r="P16" i="3" s="1"/>
  <c r="P26" i="3" s="1"/>
  <c r="Q59" i="2"/>
  <c r="Q60" i="2"/>
  <c r="R48" i="3" l="1"/>
  <c r="R51" i="3" s="1"/>
  <c r="R53" i="3" s="1"/>
  <c r="R9" i="3" s="1"/>
  <c r="R16" i="3" s="1"/>
  <c r="R26" i="3" s="1"/>
  <c r="Q51" i="3"/>
  <c r="Q53" i="3" s="1"/>
  <c r="Q9" i="3" s="1"/>
  <c r="Q16" i="3" s="1"/>
  <c r="Q2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<sst xmlns="http://schemas.openxmlformats.org/spreadsheetml/2006/main" count="764" uniqueCount="517">
  <si>
    <t>CAMECO CORPORATION (CCJ)</t>
  </si>
  <si>
    <t>DCF Financial Model</t>
  </si>
  <si>
    <t>Nixon Soetedja</t>
  </si>
  <si>
    <t>Currency: $CDN thousands  |  Actuals: 2021–2025</t>
  </si>
  <si>
    <t>Tab</t>
  </si>
  <si>
    <t>Description</t>
  </si>
  <si>
    <t>Income Statement</t>
  </si>
  <si>
    <t>Revenue, EBIT, EBT, Net Earnings, EPS — 2021A to 2025A</t>
  </si>
  <si>
    <t>Balance Sheet</t>
  </si>
  <si>
    <t>Assets, Liabilities, Equity — 2021A to 2025A</t>
  </si>
  <si>
    <t>Cash Flow</t>
  </si>
  <si>
    <t>Operating / Investing / Financing + FCF bridge — 2021A to 2025A</t>
  </si>
  <si>
    <t>Projections</t>
  </si>
  <si>
    <t>Key assumptions: uranium price, volume, margins, WACC  [to build]</t>
  </si>
  <si>
    <t>DCF</t>
  </si>
  <si>
    <t>Intrinsic value per share via discounted free cash flows  [to build]</t>
  </si>
  <si>
    <t>Comps</t>
  </si>
  <si>
    <t>Peer multiples: Kazatomprom, NexGen, Denison  [to build]</t>
  </si>
  <si>
    <t>Case</t>
  </si>
  <si>
    <t>Base</t>
  </si>
  <si>
    <t>Upside</t>
  </si>
  <si>
    <t>CAMECO CORPORATION — INCOME STATEMENT</t>
  </si>
  <si>
    <t>All figures in $CDN thousands | IFRS | Year ended December 31</t>
  </si>
  <si>
    <t>2021A</t>
  </si>
  <si>
    <t>2022A</t>
  </si>
  <si>
    <t>2023A</t>
  </si>
  <si>
    <t>2024A</t>
  </si>
  <si>
    <t>2025A</t>
  </si>
  <si>
    <t>2026AE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</si>
  <si>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</si>
  <si>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</si>
  <si>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</si>
  <si>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</si>
  <si>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</si>
  <si>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</si>
  <si>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</si>
  <si>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</si>
  <si>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</si>
  <si>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Revenue</t>
  </si>
  <si>
    <t>Revenue from products and services</t>
  </si>
  <si>
    <t>Other</t>
  </si>
  <si>
    <t>-</t>
  </si>
  <si>
    <t>Total Revenue</t>
  </si>
  <si>
    <t>Cost of Sales</t>
  </si>
  <si>
    <t>Cost of products and services sold</t>
  </si>
  <si>
    <t>Uranium cost of products sold</t>
  </si>
  <si>
    <t>Fuel Services cost of products sold</t>
  </si>
  <si>
    <t>Depreciation and amortization (COGS)</t>
  </si>
  <si>
    <t>Total cost of sales</t>
  </si>
  <si>
    <t>Gross Profit</t>
  </si>
  <si>
    <t>Operating Expenses</t>
  </si>
  <si>
    <t xml:space="preserve">    Administration</t>
  </si>
  <si>
    <t xml:space="preserve">    Exploration</t>
  </si>
  <si>
    <t xml:space="preserve">    Research and development</t>
  </si>
  <si>
    <t xml:space="preserve">    Other operating expense (income)</t>
  </si>
  <si>
    <t xml:space="preserve">    Loss on disposal of assets</t>
  </si>
  <si>
    <t>Earnings (Loss) from Operations  —  EBIT</t>
  </si>
  <si>
    <t>Non-Operating Items</t>
  </si>
  <si>
    <t xml:space="preserve">    Finance costs</t>
  </si>
  <si>
    <t xml:space="preserve">    Gain (loss) on derivatives</t>
  </si>
  <si>
    <t xml:space="preserve">    Finance income</t>
  </si>
  <si>
    <t xml:space="preserve">    Share of earnings (loss) from equity-accounted investees</t>
  </si>
  <si>
    <t xml:space="preserve">    Foreign exchange gains (losses)  [note: included in Other income 2021-2023]</t>
  </si>
  <si>
    <t xml:space="preserve">    Other income</t>
  </si>
  <si>
    <t>Earnings (Loss) Before Income Taxes  —  EBT</t>
  </si>
  <si>
    <t xml:space="preserve">    Income tax expense (recovery)</t>
  </si>
  <si>
    <t>Net Earnings (Loss)</t>
  </si>
  <si>
    <t>Attributable to:</t>
  </si>
  <si>
    <t xml:space="preserve">    Equity holders of Cameco</t>
  </si>
  <si>
    <t xml:space="preserve">    Non-controlling interests (NCI)</t>
  </si>
  <si>
    <t>Per Share Data (equity holders)</t>
  </si>
  <si>
    <t xml:space="preserve">    Basic EPS ($CDN)</t>
  </si>
  <si>
    <t xml:space="preserve">    Diluted EPS ($CDN)</t>
  </si>
  <si>
    <t>CAMECO CORPORATION — BALANCE SHEET</t>
  </si>
  <si>
    <t>All figures in $CDN thousands | IFRS | As at December 31</t>
  </si>
  <si>
    <t>2026E</t>
  </si>
  <si>
    <t>ASSETS</t>
  </si>
  <si>
    <t>Current Assets</t>
  </si>
  <si>
    <t xml:space="preserve">    Cash and cash equivalents</t>
  </si>
  <si>
    <t xml:space="preserve">    Short-term investments</t>
  </si>
  <si>
    <t xml:space="preserve">    Accounts receivable</t>
  </si>
  <si>
    <t xml:space="preserve">    Current tax assets</t>
  </si>
  <si>
    <t xml:space="preserve">    Inventories</t>
  </si>
  <si>
    <t xml:space="preserve">    Supplies and prepaid expenses</t>
  </si>
  <si>
    <t xml:space="preserve">    Current portion of LT receivables, investments and other</t>
  </si>
  <si>
    <t>Total Current Assets</t>
  </si>
  <si>
    <t>Non-Current Assets</t>
  </si>
  <si>
    <t xml:space="preserve">    Property, plant and equipment (PP&amp;E)</t>
  </si>
  <si>
    <t xml:space="preserve">    Intangible assets</t>
  </si>
  <si>
    <t xml:space="preserve">    LT receivables, investments and other</t>
  </si>
  <si>
    <t xml:space="preserve">    Investment in equity-accounted investees  [incl. Westinghouse from 2023]</t>
  </si>
  <si>
    <t xml:space="preserve">    Deferred tax assets</t>
  </si>
  <si>
    <t>Total Non-Current Assets</t>
  </si>
  <si>
    <t>TOTAL ASSETS</t>
  </si>
  <si>
    <t>LIABILITIES</t>
  </si>
  <si>
    <t>Current Liabilities</t>
  </si>
  <si>
    <t xml:space="preserve">    Accounts payable and accrued liabilities</t>
  </si>
  <si>
    <t xml:space="preserve">    Current tax liabilities</t>
  </si>
  <si>
    <t xml:space="preserve">    Current portion of long-term debt</t>
  </si>
  <si>
    <t xml:space="preserve">    Current portion of other liabilities</t>
  </si>
  <si>
    <t xml:space="preserve">    Current portion of provisions</t>
  </si>
  <si>
    <t>Total Current Liabilities</t>
  </si>
  <si>
    <t>Non-Current Liabilities</t>
  </si>
  <si>
    <t xml:space="preserve">    Long-term debt</t>
  </si>
  <si>
    <t xml:space="preserve">    Other liabilities</t>
  </si>
  <si>
    <t xml:space="preserve">    Provisions (decommissioning and reclamation)</t>
  </si>
  <si>
    <t>Total Non-Current Liabilities</t>
  </si>
  <si>
    <t>TOTAL LIABILITIES</t>
  </si>
  <si>
    <t>SHAREHOLDERS' EQUITY</t>
  </si>
  <si>
    <t xml:space="preserve">    Share capital</t>
  </si>
  <si>
    <t xml:space="preserve">    Contributed surplus</t>
  </si>
  <si>
    <t xml:space="preserve">    Retained earnings</t>
  </si>
  <si>
    <t xml:space="preserve">    Other components of equity (AOCI / cash flow hedges)</t>
  </si>
  <si>
    <t xml:space="preserve">    Non-controlling interests</t>
  </si>
  <si>
    <t>Total Shareholders' Equity</t>
  </si>
  <si>
    <t>TOTAL LIABILITIES AND EQUITY</t>
  </si>
  <si>
    <t>Supporting Assumptions</t>
  </si>
  <si>
    <t xml:space="preserve">    Capital expenditures (H1 2026 annualised, +3%/yr)</t>
  </si>
  <si>
    <t xml:space="preserve">    Dividends received from equity investees (Westinghouse)</t>
  </si>
  <si>
    <t xml:space="preserve">    Dividends paid to shareholders</t>
  </si>
  <si>
    <t>CAMECO CORPORATION — CASH FLOW STATEMENT</t>
  </si>
  <si>
    <t>Operating Activities</t>
  </si>
  <si>
    <t xml:space="preserve">    Net earnings (loss)</t>
  </si>
  <si>
    <t>Adjustments — non-cash items:</t>
  </si>
  <si>
    <t xml:space="preserve">    Depreciation and amortization</t>
  </si>
  <si>
    <t xml:space="preserve">    Deferred charges and revenues</t>
  </si>
  <si>
    <t xml:space="preserve">    Unrealized loss (gain) on derivatives</t>
  </si>
  <si>
    <t xml:space="preserve">    Share-based compensation</t>
  </si>
  <si>
    <t xml:space="preserve">    Share of equity-accounted investee earnings (loss)</t>
  </si>
  <si>
    <t xml:space="preserve">    Foreign exchange (gains) losses  [2024+ separately disclosed]</t>
  </si>
  <si>
    <t>Working capital and other:</t>
  </si>
  <si>
    <t xml:space="preserve">    Interest received</t>
  </si>
  <si>
    <t xml:space="preserve">    Income taxes received (paid)</t>
  </si>
  <si>
    <t xml:space="preserve">    Dividends from equity-accounted investees</t>
  </si>
  <si>
    <t xml:space="preserve">    Other operating items (working capital changes)</t>
  </si>
  <si>
    <t>Net Cash from Operating Activities</t>
  </si>
  <si>
    <t>Investing Activities</t>
  </si>
  <si>
    <t xml:space="preserve">    Capital expenditures — additions to PP&amp;E</t>
  </si>
  <si>
    <t xml:space="preserve">    Acquisitions (net of cash)  [2023: Westinghouse $3.0B]</t>
  </si>
  <si>
    <t xml:space="preserve">    (Increase) decrease in short-term investments</t>
  </si>
  <si>
    <t xml:space="preserve">    Decrease (increase) in LT receivables and other</t>
  </si>
  <si>
    <t xml:space="preserve">    Proceeds from disposal of PP&amp;E</t>
  </si>
  <si>
    <t>Net Cash Used in Investing Activities</t>
  </si>
  <si>
    <t>Financing Activities</t>
  </si>
  <si>
    <t xml:space="preserve">    Increase in long-term debt</t>
  </si>
  <si>
    <t xml:space="preserve">    Decrease in long-term debt</t>
  </si>
  <si>
    <t xml:space="preserve">    Interest paid</t>
  </si>
  <si>
    <t xml:space="preserve">    Proceeds from share issuance (stock options)</t>
  </si>
  <si>
    <t xml:space="preserve">    Proceeds from share issuance (net of costs)</t>
  </si>
  <si>
    <t xml:space="preserve">    Lease principal payments</t>
  </si>
  <si>
    <t xml:space="preserve">    Dividends paid</t>
  </si>
  <si>
    <t>Net Cash from (Used in) Financing Activities</t>
  </si>
  <si>
    <t>Cash Position Summary</t>
  </si>
  <si>
    <t xml:space="preserve">    Net change in cash and cash equivalents</t>
  </si>
  <si>
    <t xml:space="preserve">    Exchange rate changes on foreign currency cash balances</t>
  </si>
  <si>
    <t xml:space="preserve">    Cash and cash equivalents — beginning of year</t>
  </si>
  <si>
    <t>Cash and Cash Equivalents — End of Year</t>
  </si>
  <si>
    <t>Free Cash Flow Bridge</t>
  </si>
  <si>
    <t xml:space="preserve">    Net cash from operating activities</t>
  </si>
  <si>
    <t xml:space="preserve">    Less: Capital expenditures</t>
  </si>
  <si>
    <t>Free Cash Flow  (Operating less CapEx)</t>
  </si>
  <si>
    <t>CAMECO CORPORATION — DISCOUNTED CASH FLOW VALUATION</t>
  </si>
  <si>
    <t>Unlevered DCF  |  USD/CDN @ 1.40  |  All figures $CDN thousands unless noted</t>
  </si>
  <si>
    <t>I.   WACC CALCULATION</t>
  </si>
  <si>
    <t>Risk-Free Rate  (Canadian 10Y Gov't Bond)</t>
  </si>
  <si>
    <t>Equity Risk Premium  (Damodaran, Canada 2025)</t>
  </si>
  <si>
    <t>Beta  (5Y Monthly vs. TSX — Cameco)</t>
  </si>
  <si>
    <t>Cost of Equity  (CAPM: Rf + β × ERP)</t>
  </si>
  <si>
    <t>Pre-Tax Cost of Debt  (blended coupon rate)</t>
  </si>
  <si>
    <t>Tax Rate  (effective, normalized)</t>
  </si>
  <si>
    <t>After-Tax Cost of Debt</t>
  </si>
  <si>
    <t>Market Cap  (CDN$B, for Wd)  ← input at current price</t>
  </si>
  <si>
    <t>435.5M sh × CDN$139.11  (update when price moves materially)</t>
  </si>
  <si>
    <t>Debt Weight  [Total Debt / (Debt + Mkt Cap)]</t>
  </si>
  <si>
    <t>Equity Weight</t>
  </si>
  <si>
    <t>WACC</t>
  </si>
  <si>
    <t>↑  Change blue cells (Rf, ERP, β, Kd, Wd) to override WACC</t>
  </si>
  <si>
    <t>II.   UNLEVERED FREE CASH FLOW BRIDGE   ($CDN thousands)</t>
  </si>
  <si>
    <t>EBIT  (← Income Statement row 30)</t>
  </si>
  <si>
    <t xml:space="preserve">  (×) Tax effect  @ normalized rate</t>
  </si>
  <si>
    <t>NOPAT  =  EBIT × (1 − t)</t>
  </si>
  <si>
    <t xml:space="preserve">  (+) Depreciation &amp; Amortization</t>
  </si>
  <si>
    <t xml:space="preserve">  (+) Dividends from Equity Investees  (Westinghouse 49%)</t>
  </si>
  <si>
    <t>WH pays ~$492M/yr; excluded from EBIT (equity-accounted)</t>
  </si>
  <si>
    <t xml:space="preserve">  (+/−) Change in Working Capital</t>
  </si>
  <si>
    <t xml:space="preserve">  (−) Capital Expenditures</t>
  </si>
  <si>
    <t>Unlevered Free Cash Flow</t>
  </si>
  <si>
    <t>III.   DCF CALCULATION</t>
  </si>
  <si>
    <t>Year Number</t>
  </si>
  <si>
    <t>Discount Period  (mid-year)</t>
  </si>
  <si>
    <t>Discount Factor</t>
  </si>
  <si>
    <t>PV of UFCF</t>
  </si>
  <si>
    <t>IV.   TERMINAL VALUE</t>
  </si>
  <si>
    <t>Terminal Growth Rate  (g)</t>
  </si>
  <si>
    <t>Terminal Year UFCF  (= 2035E)</t>
  </si>
  <si>
    <t>Terminal Value  =  UFCF × (1+g) / (WACC − g)</t>
  </si>
  <si>
    <t>Discount Factor  (end of year 9)</t>
  </si>
  <si>
    <t>PV of Terminal Value</t>
  </si>
  <si>
    <t>V.   ENTERPRISE VALUE BRIDGE   ($CDN thousands)</t>
  </si>
  <si>
    <t>Sum of PV(UFCF)   2027E – 2035E</t>
  </si>
  <si>
    <t>(+) PV of Terminal Value</t>
  </si>
  <si>
    <t>Enterprise Value</t>
  </si>
  <si>
    <t>(+) Cash &amp; Equivalents  (2025A balance sheet)</t>
  </si>
  <si>
    <t>(−) Total Debt  (2025A balance sheet)</t>
  </si>
  <si>
    <t>(−) Non-Controlling Interests  (2025A)</t>
  </si>
  <si>
    <t>Equity Value  (Intrinsic Value)</t>
  </si>
  <si>
    <t>Shares Outstanding  (millions)  ← input</t>
  </si>
  <si>
    <t>Implied Share Price  (CDN$)</t>
  </si>
  <si>
    <t>Implied Share Price  (USD$   ÷ 1.40)</t>
  </si>
  <si>
    <t>Current Share Price  (CDN$)  ← update this</t>
  </si>
  <si>
    <t>Upside / (Downside)  to Current Price</t>
  </si>
  <si>
    <t>VI.   SENSITIVITY ANALYSIS  —  Implied Share Price (CDN$)</t>
  </si>
  <si>
    <t>g  ↓   /   WACC  →</t>
  </si>
  <si>
    <t>Note: Sensitivity table uses live formulas — values update automatically when projections change. Yellow = base case (WACC 10.5%, g 2.5%). Blue axis = base-case row/column. Live model price (D62) uses actual WACC of 10.7%; sensitivity cells use exact axis WACC values.</t>
  </si>
  <si>
    <t>CAMECO CORPORATION — UPSIDE CASE ASSUMPTIONS</t>
  </si>
  <si>
    <t>Uranium Segment | Price × Volume drivers | All figures in $CDN thousands | IFRS</t>
  </si>
  <si>
    <t>URANIUM SEGMENT — UPSIDE PROJECTIONS</t>
  </si>
  <si>
    <t>H1 2026A</t>
  </si>
  <si>
    <t xml:space="preserve">    Sales Volume (M lbs U3O8)</t>
  </si>
  <si>
    <t xml:space="preserve">    Realized Price — CDN$/lb</t>
  </si>
  <si>
    <t xml:space="preserve">    Uranium Revenue — CDN$K</t>
  </si>
  <si>
    <t>REALIZED PRICE DISCOUNT ANALYSIS</t>
  </si>
  <si>
    <t>2026H1</t>
  </si>
  <si>
    <t xml:space="preserve">  Cameco Realized Price — CDN$/lb</t>
  </si>
  <si>
    <t xml:space="preserve">  USD/CAD Exchange Rate (annual avg)</t>
  </si>
  <si>
    <t xml:space="preserve">  Cameco Realized Price — USD$/lb</t>
  </si>
  <si>
    <t xml:space="preserve">  Uranium Spot Price — USD$/lb  (annual avg, UxC)</t>
  </si>
  <si>
    <t xml:space="preserve">  Discount / (Premium) to Spot</t>
  </si>
  <si>
    <t>Average Discount to Spot (2024-2026)</t>
  </si>
  <si>
    <t>Average Uranium Growth Rate (2021-2026)</t>
  </si>
  <si>
    <t>Targeted Production Volume (M lbs) by 2035</t>
  </si>
  <si>
    <t>Cameco Target Volume 2035</t>
  </si>
  <si>
    <t>UPSIDE CASE — SPOT PRICE INPUTS &amp; IMPLIED REALIZED PRICE</t>
  </si>
  <si>
    <t xml:space="preserve">  Spot Price Assumption — USD$/lb </t>
  </si>
  <si>
    <t xml:space="preserve">  Applied Avg Discount to Spot  (from historical above)</t>
  </si>
  <si>
    <t xml:space="preserve">  Implied Realized Price — USD$/lb</t>
  </si>
  <si>
    <t xml:space="preserve">  Implied Realized Price — CDN$/lb  [÷1.40]</t>
  </si>
  <si>
    <t>=</t>
  </si>
  <si>
    <t>WESTINGHOUSE ELECTRIC — EQUITY EARNINGS PROJECTION</t>
  </si>
  <si>
    <t>Cameco Corporation  |  49% equity-accounted investee  |  $CDN thousands  |  IFRS equity method</t>
  </si>
  <si>
    <t>PROJECTIONS</t>
  </si>
  <si>
    <t xml:space="preserve">    Equity Earnings  →  Income Statement row 36</t>
  </si>
  <si>
    <t xml:space="preserve">    Applied Conversion Ratio  (EBITDA → Equity Earnings)</t>
  </si>
  <si>
    <t xml:space="preserve">    Cameco's 49% Share — Adj. EBITDA</t>
  </si>
  <si>
    <t xml:space="preserve">    Applied Adj. EBITDA Growth Rate</t>
  </si>
  <si>
    <t xml:space="preserve">    Equity Earnings YoY Growth  (check)</t>
  </si>
  <si>
    <t>Base Case</t>
  </si>
  <si>
    <t>Upside Case</t>
  </si>
  <si>
    <t>Notes</t>
  </si>
  <si>
    <t>Joint venture with Brookfield Asset Management (51%)</t>
  </si>
  <si>
    <t>Base: anchored on nuclear services market ~10-15% growth + Westinghouse pipeline; Upside: accelerated AP1000 / SMR orders</t>
  </si>
  <si>
    <t>Steady-state growth; new build revenues ramping; maintenance contracts expanding</t>
  </si>
  <si>
    <t>Mature growth; terminal-period proxy; large new-build cycle largely priced in</t>
  </si>
  <si>
    <t>2025A actual = 27.7%; rising as PPA amortization begins to normalize (non-cash D&amp;A from $7.8B acquisition)</t>
  </si>
  <si>
    <t>Continued PPA amortization wind-down; net income margin improving</t>
  </si>
  <si>
    <t>Acquisition premium substantially amortized; structurally higher net income conversion</t>
  </si>
  <si>
    <t>ASSUMPTIONS</t>
  </si>
  <si>
    <t>Cameco Ownership in Westinghouse</t>
  </si>
  <si>
    <t>Adj. EBITDA Growth Rate — Near Term  (2026–2028)</t>
  </si>
  <si>
    <t>Adj. EBITDA Growth Rate — Mid Term  (2029–2031)</t>
  </si>
  <si>
    <t>Adj. EBITDA Growth Rate — Long Term  (2032–2035)</t>
  </si>
  <si>
    <t>EBITDA → Equity Earnings Conversion — Near Term  (2026–2028)</t>
  </si>
  <si>
    <t>EBITDA → Equity Earnings Conversion — Mid Term  (2029–2031)</t>
  </si>
  <si>
    <t>EBITDA → Equity Earnings Conversion — Long Term  (2032–2035)</t>
  </si>
  <si>
    <t>HISTORICAL REFERENCE</t>
  </si>
  <si>
    <t>Source</t>
  </si>
  <si>
    <t>Cameco 2025 Annual Report MD&amp;A (Westinghouse segment)</t>
  </si>
  <si>
    <t xml:space="preserve">    Equity Earnings on Income Statement</t>
  </si>
  <si>
    <t>Linked from IS; 2024A negative due to acquisition PPA amortization</t>
  </si>
  <si>
    <t xml:space="preserve">    Actual Conversion Rate</t>
  </si>
  <si>
    <t>2024A negative (not meaningful); 2025A = 27.7% baseline for projections</t>
  </si>
  <si>
    <t>Actual 2026 H1 Revenue</t>
  </si>
  <si>
    <t>NOTES</t>
  </si>
  <si>
    <t xml:space="preserve">  Yellow row = equity earnings output — automatically feeds Income Statement row 36 (2026E–2035E) via cross-sheet formula.</t>
  </si>
  <si>
    <t xml:space="preserve">  Projection logic: Adj. EBITDA grown at selected rate, then multiplied by conversion ratio. Conversion rises as acquisition PPA amortization unwinds over time.</t>
  </si>
  <si>
    <t xml:space="preserve">  2024A equity earnings negative due to ~$400-500M/yr non-cash D&amp;A from Cameco/Brookfield $7.8B USD acquisition (Nov 2023). 2025A is first clean run-rate year.</t>
  </si>
  <si>
    <t xml:space="preserve">  Blue = hardcoded inputs. Green = linked from Income Statement. Toggle Base/Upside via Cover sheet (cell C17).</t>
  </si>
  <si>
    <t>Growth Assumptions</t>
  </si>
  <si>
    <t>Data</t>
  </si>
  <si>
    <t xml:space="preserve">    Cost of products and services sold</t>
  </si>
  <si>
    <t xml:space="preserve">        Uranium cost of products sold</t>
  </si>
  <si>
    <t xml:space="preserve">        Fuel Services cost of products sold</t>
  </si>
  <si>
    <t xml:space="preserve">    Depreciation and amortization (COGS)</t>
  </si>
  <si>
    <t>Scale Rate</t>
  </si>
  <si>
    <t>(Westinghouse)</t>
  </si>
  <si>
    <t>BALANCE SHEET ASSUMPTIONS</t>
  </si>
  <si>
    <t>Working Capital (Days-Based)</t>
  </si>
  <si>
    <t xml:space="preserve">    DSO — Accounts Receivable Days</t>
  </si>
  <si>
    <t>2024–2025A avg; AR = Revenue × DSO / 365</t>
  </si>
  <si>
    <t xml:space="preserve">    DIO — Inventory Days</t>
  </si>
  <si>
    <t>5-year avg 2021–2025A; Inventory = COGS × DIO / 365</t>
  </si>
  <si>
    <t xml:space="preserve">    DPO — Accounts Payable Days</t>
  </si>
  <si>
    <t>5-year avg 2021–2025A; AP = COGS × DPO / 365</t>
  </si>
  <si>
    <t xml:space="preserve">    Supplies &amp; Prepaid (% of Revenue)</t>
  </si>
  <si>
    <t>2024–2025A avg (4.6%–4.9%)</t>
  </si>
  <si>
    <t xml:space="preserve">    Current Tax Assets</t>
  </si>
  <si>
    <t>Flat at 2025A ($11,974K)</t>
  </si>
  <si>
    <t>Flat</t>
  </si>
  <si>
    <t xml:space="preserve">    Other Current Liabilities</t>
  </si>
  <si>
    <t>Flat at 2025A ($134,667K)</t>
  </si>
  <si>
    <t xml:space="preserve">    Current Provisions</t>
  </si>
  <si>
    <t>Flat at 2025A ($47,648K)</t>
  </si>
  <si>
    <t xml:space="preserve">    Current Tax Liabilities</t>
  </si>
  <si>
    <t>Flat at 2025A ($16,516K)</t>
  </si>
  <si>
    <t xml:space="preserve">    Capex — Base Year (2026E)</t>
  </si>
  <si>
    <t>H1 2026 capex annualised ($184,233K × 2)</t>
  </si>
  <si>
    <t xml:space="preserve">    Capex — Annual Growth Rate</t>
  </si>
  <si>
    <t>Reflects expanding uranium production; PP&amp;E = prior + Capex − D&amp;A</t>
  </si>
  <si>
    <t xml:space="preserve">    Short-Term Investments</t>
  </si>
  <si>
    <t>Set to 0; balance has been 0 in 2023A and 2024A, lumpy in nature</t>
  </si>
  <si>
    <t xml:space="preserve">    Intangibles — Annual Amortisation</t>
  </si>
  <si>
    <t>Straight-line: $51M (2021A) → $36M (2025A) ÷ 4 yrs ≈ $4M/yr</t>
  </si>
  <si>
    <t xml:space="preserve">    LT Receivables, Investments &amp; Other</t>
  </si>
  <si>
    <t>Flat at 2025A ($647,245K)</t>
  </si>
  <si>
    <t xml:space="preserve">    Equity Investees — Westinghouse Dividends (annual)</t>
  </si>
  <si>
    <t>H1 2026 dividends received ($246,059K) × 2; balance = prior + equity earnings − dividends</t>
  </si>
  <si>
    <t xml:space="preserve">    Deferred Tax Assets — Annual Decline</t>
  </si>
  <si>
    <t>Historical trend: $937M (2021A) → $666M (2025A) = −$68M/yr avg; modelled at −$40M/yr (conservative)</t>
  </si>
  <si>
    <t xml:space="preserve">    Long-Term Debt</t>
  </si>
  <si>
    <t>Flat at 2025A (~$996M); no new issuance or repayment modelled</t>
  </si>
  <si>
    <t xml:space="preserve">    Other LT Liabilities — Annual Growth</t>
  </si>
  <si>
    <t>Gradual growth reflecting deferred revenue and lease obligations; $216M (2022A) → $378M (2025A)</t>
  </si>
  <si>
    <t xml:space="preserve">    Decommissioning Provisions — Annual Decline</t>
  </si>
  <si>
    <t>Net of new accruals and spending; $1,090M (2021A) → $953M (2025A) = −$34M/yr avg; modelled at −$15M/yr</t>
  </si>
  <si>
    <t xml:space="preserve">    Current Portion of LT Debt</t>
  </si>
  <si>
    <t>Set to 0; no near-term maturities visible in 2025A or 2026 interim BS</t>
  </si>
  <si>
    <t>Equity</t>
  </si>
  <si>
    <t xml:space="preserve">    Share Capital</t>
  </si>
  <si>
    <t>Flat at 2025A ($2,938,235K); minor option issuances ignored</t>
  </si>
  <si>
    <t xml:space="preserve">    Contributed Surplus</t>
  </si>
  <si>
    <t>Flat at 2025A ($211,412K)</t>
  </si>
  <si>
    <t xml:space="preserve">    Retained Earnings</t>
  </si>
  <si>
    <t>Roll-forward: prior year + Net Earnings (IS Row 44) − Dividends paid</t>
  </si>
  <si>
    <t>Roll-fwd</t>
  </si>
  <si>
    <t xml:space="preserve">    Dividends Paid to Shareholders</t>
  </si>
  <si>
    <t>Consistent with H1 2026 actuals ($0 dividends paid in H1 2026)</t>
  </si>
  <si>
    <t xml:space="preserve">    AOCI &amp; Non-Controlling Interests</t>
  </si>
  <si>
    <t>Flat at 2025A ($144,938K and $15K respectively)</t>
  </si>
  <si>
    <t>Cash</t>
  </si>
  <si>
    <t xml:space="preserve">    Cash &amp; Cash Equivalents</t>
  </si>
  <si>
    <t>Plug: Total L&amp;E − all non-cash assets; to be replaced by CF roll-forward</t>
  </si>
  <si>
    <t>Plug</t>
  </si>
  <si>
    <t>CASH FLOW STATEMENT — PROJECTION ASSUMPTIONS</t>
  </si>
  <si>
    <t>2026AE — all lines</t>
  </si>
  <si>
    <t>Annualised from H1 2026 actuals (×2). Source: Q1 + Q2 2026 condensed interim FS. Labelled 2026AE.</t>
  </si>
  <si>
    <t>Deferred charges &amp; revenues (Row 9)</t>
  </si>
  <si>
    <t>Set to 0 for 2027E+. Timing differences are non-predictable and small (&lt;$25M historically).</t>
  </si>
  <si>
    <t>Unrealized derivatives (Row 10)</t>
  </si>
  <si>
    <t>Set to 0 for 2027E+. MTM gains/losses on uranium contracts are non-cash and highly volatile. Not included in UFCF.</t>
  </si>
  <si>
    <t>Share-based compensation (Row 11)</t>
  </si>
  <si>
    <t>$12,000/yr for 2027E+ (2025A=$9,656; slight step-up for headcount growth). Non-cash add-back.</t>
  </si>
  <si>
    <t>Finance costs add-back (Row 13)</t>
  </si>
  <si>
    <t>100% of IS finance costs added back in operating section. Cash interest paid shown separately in financing (Row 40).</t>
  </si>
  <si>
    <t>Finance income deduction (Row 14)</t>
  </si>
  <si>
    <t>100% of IS finance income deducted from operating section. Cash interest received shown in Row 21.</t>
  </si>
  <si>
    <t>Equity investees deduction (Row 15)</t>
  </si>
  <si>
    <t>IS equity earnings fully deducted (non-cash). Cash dividends received from Westinghouse shown in Row 23.</t>
  </si>
  <si>
    <t>Other income deduction (Row 16)</t>
  </si>
  <si>
    <t>IS other income deducted (non-cash; e.g. insurance recoveries, asset sale gains).</t>
  </si>
  <si>
    <t>FX effect on cash (Row 17, Row 50)</t>
  </si>
  <si>
    <t>Set to 0 for 2027E+. Non-predictable; conservatively excluded. 2026AE uses H1 actual ×2.</t>
  </si>
  <si>
    <t>Tax expense add-back / taxes paid (Rows 19, 22)</t>
  </si>
  <si>
    <t>Both set to 0 for 2027E+. Net effect = zero when taxes accrued ≈ taxes paid. 2026AE uses H1 actuals ×2.</t>
  </si>
  <si>
    <t>Dividends from investees (Row 23)</t>
  </si>
  <si>
    <t>Pulled from Balance Sheet row 56 (Westinghouse dividend schedule). 2026AE: H1 $246M ×2 = $492M.</t>
  </si>
  <si>
    <t>Working capital changes (Row 24)</t>
  </si>
  <si>
    <t>2026AE: H1 actuals ×2. 2027E+: computed from BS movements — ΔAR + ΔInventory + ΔSupplies − ΔAP. Driven by IS revenue/COGS growth and WC day assumptions (DSO=40, DIO=125, DPO=100).</t>
  </si>
  <si>
    <t>Capital expenditures (Row 29)</t>
  </si>
  <si>
    <t>Pulled from Balance Sheet row 55 supporting schedule. Grows ~3%/yr from 2025A base.</t>
  </si>
  <si>
    <t>Acquisitions (Row 30)</t>
  </si>
  <si>
    <t>0 for all projection years. No further large M&amp;A assumed (Westinghouse acquired 2023).</t>
  </si>
  <si>
    <t>STI / LT receivables / Disposal proceeds (Rows 31-33)</t>
  </si>
  <si>
    <t>0 for 2027E+. One-time / non-recurring; not forecast.</t>
  </si>
  <si>
    <t>Debt changes — increase/decrease (Rows 38-39)</t>
  </si>
  <si>
    <t>0 for all projection years. LTD held flat at 2025A level ($996M) per BS model. No new debt assumed.</t>
  </si>
  <si>
    <t>Interest paid (Row 40)</t>
  </si>
  <si>
    <t>46% of IS finance costs (2024A-2025A avg ratio: 52,642/115,175 = 45.7%). Remainder is non-cash (lease accretion, provision unwinding).</t>
  </si>
  <si>
    <t>Share issuance — options (Row 41)</t>
  </si>
  <si>
    <t>$2,000/yr for 2027E+. Small recurring inflow from employee stock option exercises.</t>
  </si>
  <si>
    <t>Lease principal payments (Row 43)</t>
  </si>
  <si>
    <t>-$3,000/yr for 2027E+. Stable lease base; right-of-use assets declining slightly.</t>
  </si>
  <si>
    <t>Dividends paid to shareholders (Row 44)</t>
  </si>
  <si>
    <t>2026AE: $0 (H1 2026 had no dividend payments per interim ×2). 2027E: -$120,000 growing 5%/yr. Based on CCJ's ~$0.48/share annualised dividend × ~250M diluted shares.</t>
  </si>
  <si>
    <t>Cash — integration note</t>
  </si>
  <si>
    <t>CF ending cash (Row 52) represents the model's cash generation. The existing Balance Sheet uses cash as a balancing plug. These will differ until the BS cash row is explicitly linked to CF Row 52 in a future step.</t>
  </si>
  <si>
    <t>Cameco Corporation (CCJ) — 2026 Interim Actuals</t>
  </si>
  <si>
    <t>Source: Q1 2026 (Mar 31/26) and Q2 2026 (Jun 30/26) Condensed Interim Financial Statements (IFRS, unaudited)</t>
  </si>
  <si>
    <t>All figures in $CDN thousands unless otherwise noted</t>
  </si>
  <si>
    <t>INCOME STATEMENT  ($CDN thousands)</t>
  </si>
  <si>
    <t>Q1 2026</t>
  </si>
  <si>
    <t>Q2 2026</t>
  </si>
  <si>
    <t>H1 2026</t>
  </si>
  <si>
    <t>Cost of sales (ex-D&amp;A)</t>
  </si>
  <si>
    <t>Depreciation &amp; amortisation</t>
  </si>
  <si>
    <t>Cost of sales</t>
  </si>
  <si>
    <t>Gross profit</t>
  </si>
  <si>
    <t>Administration</t>
  </si>
  <si>
    <t>Exploration</t>
  </si>
  <si>
    <t>Research &amp; development</t>
  </si>
  <si>
    <t>Other operating expenses / (income)</t>
  </si>
  <si>
    <t>Loss on disposal of assets</t>
  </si>
  <si>
    <t>EBIT</t>
  </si>
  <si>
    <t>Finance costs</t>
  </si>
  <si>
    <t>Unrealised losses on derivatives</t>
  </si>
  <si>
    <t>Finance income</t>
  </si>
  <si>
    <t>Equity investees</t>
  </si>
  <si>
    <t>Foreign exchange gains</t>
  </si>
  <si>
    <t>Other income</t>
  </si>
  <si>
    <t>Earnings before tax (EBT)</t>
  </si>
  <si>
    <t>Income tax expense</t>
  </si>
  <si>
    <t>Net earnings</t>
  </si>
  <si>
    <t>Attributable to equity holders</t>
  </si>
  <si>
    <t>Attributable to non-controlling interest</t>
  </si>
  <si>
    <t>Basic EPS ($CDN)</t>
  </si>
  <si>
    <t>Diluted EPS ($CDN)</t>
  </si>
  <si>
    <t>BALANCE SHEET  ($CDN thousands)</t>
  </si>
  <si>
    <t>Mar 31/26 (Q1)</t>
  </si>
  <si>
    <t>Jun 30/26 (Q2)</t>
  </si>
  <si>
    <t>Cash and cash equivalents</t>
  </si>
  <si>
    <t>Short-term investments</t>
  </si>
  <si>
    <t>Accounts receivable</t>
  </si>
  <si>
    <t>Current tax assets</t>
  </si>
  <si>
    <t>Inventories</t>
  </si>
  <si>
    <t>Supplies and prepaid expenses</t>
  </si>
  <si>
    <t>Current portion of LT receivables</t>
  </si>
  <si>
    <t>Total current assets</t>
  </si>
  <si>
    <t>Property, plant &amp; equipment</t>
  </si>
  <si>
    <t>Intangible assets</t>
  </si>
  <si>
    <t>Long-term receivables</t>
  </si>
  <si>
    <t>Deferred tax assets</t>
  </si>
  <si>
    <t>Total non-current assets</t>
  </si>
  <si>
    <t>Accounts payable and accrued liabilities</t>
  </si>
  <si>
    <t>Current tax liabilities</t>
  </si>
  <si>
    <t>Current portion of long-term debt</t>
  </si>
  <si>
    <t>Other current liabilities</t>
  </si>
  <si>
    <t>Current provisions</t>
  </si>
  <si>
    <t>Total current liabilities</t>
  </si>
  <si>
    <t>Long-term debt</t>
  </si>
  <si>
    <t>Other long-term liabilities</t>
  </si>
  <si>
    <t>Long-term provisions</t>
  </si>
  <si>
    <t>Total non-current liabilities</t>
  </si>
  <si>
    <t>SEGMENT BREAKDOWN — REVENUE &amp; COST  (CDN$K)</t>
  </si>
  <si>
    <t>Contributed surplus</t>
  </si>
  <si>
    <t xml:space="preserve">  Uranium Revenue</t>
  </si>
  <si>
    <t xml:space="preserve">  Fuel Services Revenue</t>
  </si>
  <si>
    <t xml:space="preserve">  Other / reconciling</t>
  </si>
  <si>
    <t>Total equity</t>
  </si>
  <si>
    <t>Cost of Sales (ex-D&amp;A)</t>
  </si>
  <si>
    <t xml:space="preserve">  Uranium COGS</t>
  </si>
  <si>
    <t xml:space="preserve">  Fuel Services COGS</t>
  </si>
  <si>
    <t>CASH FLOW STATEMENT  ($CDN thousands)</t>
  </si>
  <si>
    <t>Deferred income taxes</t>
  </si>
  <si>
    <t>Share-based compensation</t>
  </si>
  <si>
    <t>Foreign exchange</t>
  </si>
  <si>
    <t>Interest received</t>
  </si>
  <si>
    <t>Taxes paid</t>
  </si>
  <si>
    <t>Dividends from investees</t>
  </si>
  <si>
    <t>Other operating items / WC changes</t>
  </si>
  <si>
    <t>Decrease (increase) in non-cash WC</t>
  </si>
  <si>
    <t>Net cash from operations</t>
  </si>
  <si>
    <t>Capital expenditures</t>
  </si>
  <si>
    <t>(Purchase) / sale of short-term investments</t>
  </si>
  <si>
    <t>(Advances) / repayments — LT receivables</t>
  </si>
  <si>
    <t>Proceeds from disposal of PP&amp;E</t>
  </si>
  <si>
    <t>Net cash from investing</t>
  </si>
  <si>
    <t>Repayment of long-term debt</t>
  </si>
  <si>
    <t>Interest paid</t>
  </si>
  <si>
    <t>Lease payments</t>
  </si>
  <si>
    <t>Proceeds from exercise of share options</t>
  </si>
  <si>
    <t>Dividends paid</t>
  </si>
  <si>
    <t>Net cash from financing</t>
  </si>
  <si>
    <t>Net change in cash</t>
  </si>
  <si>
    <t>Effect of exchange rate on cash</t>
  </si>
  <si>
    <t>Beginning cash</t>
  </si>
  <si>
    <t>Ending cash</t>
  </si>
  <si>
    <t>Free cash flow (ops + capex)</t>
  </si>
  <si>
    <t>Uranium Revenue</t>
  </si>
  <si>
    <t>Fuel Service Revenue</t>
  </si>
  <si>
    <t>CCJ Cameco – Historical Segment Data  (CDN$ Millions unless noted)</t>
  </si>
  <si>
    <t>URANIUM SEGMENT</t>
  </si>
  <si>
    <t>Revenue (CDN$M)</t>
  </si>
  <si>
    <t xml:space="preserve">  Revenue – YoY Growth</t>
  </si>
  <si>
    <t>Sales Volume (M lbs U3O8)</t>
  </si>
  <si>
    <t xml:space="preserve">  Volume – YoY Growth</t>
  </si>
  <si>
    <t>Avg Realized Price (CDN$/lb)</t>
  </si>
  <si>
    <t xml:space="preserve">  Price – YoY Growth (CDN$)</t>
  </si>
  <si>
    <t>Avg Realized Price (US$/lb)</t>
  </si>
  <si>
    <t>n/a</t>
  </si>
  <si>
    <t xml:space="preserve">  Price – YoY Growth (US$)</t>
  </si>
  <si>
    <t>Earnings Before Tax (CDN$M)</t>
  </si>
  <si>
    <t>Adj EBITDA (CDN$M)</t>
  </si>
  <si>
    <t>Adj EBITDA Margin</t>
  </si>
  <si>
    <t>FUEL SERVICES SEGMENT</t>
  </si>
  <si>
    <t>Sales Volume (M kgU)</t>
  </si>
  <si>
    <t>Avg Realized Price (CDN$/kgU)</t>
  </si>
  <si>
    <t xml:space="preserve">  Price – YoY Growth</t>
  </si>
  <si>
    <t>WESTINGHOUSE – 49% Equity Interest  (equity-method; NOT in consolidated revenue)</t>
  </si>
  <si>
    <t>Acquired Nov 7, 2023. Cameco's 49% share flows below EBIT as equity earnings. 2023 data is ~2 months (partial year) only.</t>
  </si>
  <si>
    <t>Revenue – 100% WEC basis (CDN$M)</t>
  </si>
  <si>
    <t>—</t>
  </si>
  <si>
    <t>Adj EBITDA – 49% share (CDN$M)</t>
  </si>
  <si>
    <t xml:space="preserve">  Adj EBITDA – YoY Growth (2024/2025 only)</t>
  </si>
  <si>
    <t>Net Earnings / (Loss) – 49% share (CDN$M)</t>
  </si>
  <si>
    <t>CONSOLIDATED REVENUE SUMMARY</t>
  </si>
  <si>
    <t>Fuel Services Revenue</t>
  </si>
  <si>
    <t>Total Consolidated Revenue</t>
  </si>
  <si>
    <t xml:space="preserve">  Uranium Mix %</t>
  </si>
  <si>
    <t xml:space="preserve">  Fuel Services Mix %</t>
  </si>
  <si>
    <t>REFERENCE – USD/CAD FX RATES</t>
  </si>
  <si>
    <t>USD/CAD Average Rate</t>
  </si>
  <si>
    <t>Cameco Market Share (Upside)</t>
  </si>
  <si>
    <t>Cameco Market Share (Base)</t>
  </si>
  <si>
    <t>Westinghouse Dividend Growth Rate</t>
  </si>
  <si>
    <t>Terminal Value</t>
  </si>
  <si>
    <t xml:space="preserve">Assumptions </t>
  </si>
  <si>
    <t>Beta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</si>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</sst>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#,##0;\(#,##0\);\-"/>
    <numFmt numFmtId="165" formatCode="#,##0.00;\(#,##0.00\);\-"/>
    <numFmt numFmtId="166" formatCode="\$#,##0.00"/>
    <numFmt numFmtId="167" formatCode="0.0%"/>
    <numFmt numFmtId="168" formatCode="#,##0.0"/>
    <numFmt numFmtId="169" formatCode="0.0"/>
    <numFmt numFmtId="170" formatCode="0.0000"/>
    <numFmt numFmtId="171" formatCode="0.000"/>
    <numFmt numFmtId="172" formatCode="0.0&quot; M&quot;"/>
    <numFmt numFmtId="173" formatCode="0&quot; M&quot;"/>
    <numFmt numFmtId="174" formatCode="\+0.0%;\(0.0%\);\-"/>
    <numFmt numFmtId="175" formatCode="#,##0.0;\(#,##0.0\);\-"/>
    <numFmt numFmtId="176" formatCode="0.0%;\(0.0%\);\-"/>
    <numFmt numFmtId="178" formatCode="_(* #,##0_);_(* \(#,##0\);_(* &quot;-&quot;??_);_(@_)"/>
  </numFmts>
  <fonts count="62">
    <font>
      <sz val="11"/>
      <color theme="1"/>
      <name val="Calibri"/>
      <family val="2"/>
      <charset val="1"/>
    </font>
    <font>
      <sz val="11"/>
      <color theme="1"/>
      <name val="Helvetica Neue Light"/>
      <charset val="1"/>
    </font>
    <font>
      <b/>
      <sz val="16"/>
      <color rgb="FF1F3864"/>
      <name val="Helvetica Neue Light"/>
      <charset val="1"/>
    </font>
    <font>
      <sz val="13"/>
      <color rgb="FF595959"/>
      <name val="Helvetica Neue Light"/>
      <charset val="1"/>
    </font>
    <font>
      <i/>
      <sz val="10"/>
      <color rgb="FF595959"/>
      <name val="Helvetica Neue Light"/>
      <charset val="1"/>
    </font>
    <font>
      <b/>
      <sz val="10"/>
      <color rgb="FFFFFFFF"/>
      <name val="Helvetica Neue Light"/>
      <charset val="1"/>
    </font>
    <font>
      <b/>
      <sz val="10"/>
      <color rgb="FF0000FF"/>
      <name val="Helvetica Neue Light"/>
      <charset val="1"/>
    </font>
    <font>
      <sz val="9"/>
      <color rgb="FF000000"/>
      <name val="Helvetica Neue Light"/>
      <charset val="1"/>
    </font>
    <font>
      <b/>
      <sz val="11"/>
      <color theme="0"/>
      <name val="Helvetica Neue Light"/>
      <charset val="1"/>
    </font>
    <font>
      <b/>
      <sz val="11"/>
      <color theme="1"/>
      <name val="Helvetica Neue Light"/>
      <charset val="1"/>
    </font>
    <font>
      <sz val="10"/>
      <color theme="1"/>
      <name val="Helvetica Neue Light"/>
      <charset val="1"/>
    </font>
    <font>
      <i/>
      <sz val="9"/>
      <color rgb="FF595959"/>
      <name val="Helvetica Neue Light"/>
      <charset val="1"/>
    </font>
    <font>
      <b/>
      <sz val="10"/>
      <color theme="1"/>
      <name val="Helvetica Neue Light"/>
      <charset val="1"/>
    </font>
    <font>
      <sz val="10"/>
      <color theme="0"/>
      <name val="Helvetica Neue Light"/>
      <charset val="1"/>
    </font>
    <font>
      <b/>
      <sz val="10"/>
      <color theme="0"/>
      <name val="Helvetica Neue Light"/>
      <charset val="1"/>
    </font>
    <font>
      <sz val="10"/>
      <color rgb="FF000000"/>
      <name val="Helvetica Neue Light"/>
      <charset val="1"/>
    </font>
    <font>
      <sz val="10"/>
      <color rgb="FF0000FF"/>
      <name val="Helvetica Neue Light"/>
      <charset val="1"/>
    </font>
    <font>
      <b/>
      <sz val="10"/>
      <color rgb="FF000000"/>
      <name val="Helvetica Neue Light"/>
      <charset val="1"/>
    </font>
    <font>
      <b/>
      <sz val="11"/>
      <color rgb="FFFFFFFF"/>
      <name val="Helvetica Neue Light"/>
      <charset val="1"/>
    </font>
    <font>
      <i/>
      <sz val="10"/>
      <color rgb="FF808080"/>
      <name val="Helvetica Neue Light"/>
      <charset val="1"/>
    </font>
    <font>
      <sz val="10"/>
      <color rgb="FF008000"/>
      <name val="Helvetica Neue Light"/>
      <charset val="1"/>
    </font>
    <font>
      <sz val="10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sz val="10"/>
      <color rgb="FF808080"/>
      <name val="Helvetica Neue Light"/>
      <charset val="1"/>
    </font>
    <font>
      <b/>
      <i/>
      <sz val="10"/>
      <color theme="0"/>
      <name val="Helvetica Neue Light"/>
      <charset val="1"/>
    </font>
    <font>
      <b/>
      <i/>
      <sz val="10"/>
      <color rgb="FF808080"/>
      <name val="Helvetica Neue Light"/>
      <charset val="1"/>
    </font>
    <font>
      <i/>
      <sz val="10"/>
      <color theme="1"/>
      <name val="Helvetica Neue Light"/>
      <charset val="1"/>
    </font>
    <font>
      <b/>
      <i/>
      <sz val="10"/>
      <color theme="1"/>
      <name val="Helvetica Neue Light"/>
      <charset val="1"/>
    </font>
    <font>
      <sz val="10"/>
      <name val="Helvetica Neue Light"/>
      <charset val="1"/>
    </font>
    <font>
      <sz val="10"/>
      <name val="Arial"/>
      <family val="2"/>
      <charset val="1"/>
    </font>
    <font>
      <i/>
      <sz val="10"/>
      <color rgb="FF000000"/>
      <name val="Helvetica Neue Light"/>
      <charset val="1"/>
    </font>
    <font>
      <sz val="11"/>
      <color theme="0"/>
      <name val="Calibri"/>
      <family val="2"/>
      <charset val="1"/>
    </font>
    <font>
      <b/>
      <sz val="10"/>
      <name val="Helvetica Neue Light"/>
      <charset val="1"/>
    </font>
    <font>
      <i/>
      <sz val="10"/>
      <color rgb="FF666666"/>
      <name val="Helvetica Neue Light"/>
      <charset val="1"/>
    </font>
    <font>
      <i/>
      <sz val="10"/>
      <color rgb="FF333333"/>
      <name val="Helvetica Neue Light"/>
      <charset val="1"/>
    </font>
    <font>
      <b/>
      <sz val="13"/>
      <color rgb="FF000000"/>
      <name val="Arial"/>
      <family val="2"/>
      <charset val="1"/>
    </font>
    <font>
      <i/>
      <sz val="9"/>
      <color rgb="FF595959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sz val="9"/>
      <color rgb="FF0000FF"/>
      <name val="Arial"/>
      <family val="2"/>
      <charset val="1"/>
    </font>
    <font>
      <i/>
      <sz val="9"/>
      <color rgb="FF80808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theme="1"/>
      <name val="Calibri"/>
      <family val="2"/>
      <charset val="1"/>
    </font>
    <font>
      <sz val="10"/>
      <color rgb="FF0000FF"/>
      <name val="Calibri"/>
      <family val="2"/>
      <charset val="1"/>
    </font>
    <font>
      <b/>
      <sz val="12"/>
      <color rgb="FF1F3864"/>
      <name val="Arial"/>
      <family val="2"/>
      <charset val="1"/>
    </font>
    <font>
      <sz val="9"/>
      <color rgb="FF000000"/>
      <name val="Arial"/>
      <family val="2"/>
      <charset val="1"/>
    </font>
    <font>
      <i/>
      <sz val="8"/>
      <color rgb="FF595959"/>
      <name val="Arial"/>
      <family val="2"/>
      <charset val="1"/>
    </font>
    <font>
      <b/>
      <sz val="9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theme="0"/>
      <name val="Helvetica Neue Light"/>
    </font>
    <font>
      <sz val="10"/>
      <color theme="1"/>
      <name val="Helvetica Neue Light"/>
    </font>
    <font>
      <i/>
      <sz val="10"/>
      <color theme="1"/>
      <name val="Helvetica Neue Light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EEAF1"/>
      </patternFill>
    </fill>
    <fill>
      <patternFill patternType="solid">
        <fgColor rgb="FF111578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DEEAF1"/>
        <bgColor rgb="FFDCE6F2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CE6F2"/>
      </patternFill>
    </fill>
    <fill>
      <patternFill patternType="solid">
        <fgColor rgb="FFD9D9D9"/>
        <bgColor rgb="FFD6E4F0"/>
      </patternFill>
    </fill>
    <fill>
      <patternFill patternType="solid">
        <fgColor rgb="FF404040"/>
        <bgColor rgb="FF444444"/>
      </patternFill>
    </fill>
    <fill>
      <patternFill patternType="solid">
        <fgColor rgb="FF2F5496"/>
        <bgColor rgb="FF1F3864"/>
      </patternFill>
    </fill>
    <fill>
      <patternFill patternType="solid">
        <fgColor rgb="FF444444"/>
        <bgColor rgb="FF404040"/>
      </patternFill>
    </fill>
    <fill>
      <patternFill patternType="solid">
        <fgColor rgb="FF11157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8" fillId="0" borderId="0" applyFont="0" applyFill="0" applyBorder="0" applyAlignment="0" applyProtection="0"/>
  </cellStyleXfs>
  <cellXfs count="261">
    <xf numFmtId="0" fontId="0" fillId="0" borderId="0" xfId="0"/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7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" fillId="4" borderId="0" xfId="0" applyFont="1" applyFill="1"/>
    <xf numFmtId="0" fontId="14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164" fontId="15" fillId="0" borderId="0" xfId="0" applyNumberFormat="1" applyFont="1" applyAlignment="1">
      <alignment horizontal="left"/>
    </xf>
    <xf numFmtId="164" fontId="16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5" fillId="0" borderId="0" xfId="0" applyFont="1" applyAlignment="1">
      <alignment horizontal="left" vertical="center"/>
    </xf>
    <xf numFmtId="164" fontId="16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0" fontId="15" fillId="0" borderId="7" xfId="0" applyFont="1" applyBorder="1" applyAlignment="1">
      <alignment horizontal="left" vertical="center"/>
    </xf>
    <xf numFmtId="164" fontId="16" fillId="0" borderId="7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/>
    </xf>
    <xf numFmtId="164" fontId="10" fillId="0" borderId="7" xfId="0" applyNumberFormat="1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/>
    </xf>
    <xf numFmtId="0" fontId="1" fillId="0" borderId="7" xfId="0" applyFont="1" applyBorder="1"/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10" fillId="0" borderId="0" xfId="0" applyFont="1"/>
    <xf numFmtId="165" fontId="16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64" fontId="16" fillId="0" borderId="7" xfId="0" applyNumberFormat="1" applyFont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2" fillId="0" borderId="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4" borderId="0" xfId="0" applyFont="1" applyFill="1"/>
    <xf numFmtId="164" fontId="15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0" fontId="10" fillId="0" borderId="0" xfId="0" applyFont="1" applyAlignment="1">
      <alignment horizontal="left" vertical="center"/>
    </xf>
    <xf numFmtId="164" fontId="15" fillId="0" borderId="7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 vertical="center"/>
    </xf>
    <xf numFmtId="164" fontId="17" fillId="0" borderId="0" xfId="0" applyNumberFormat="1" applyFont="1" applyAlignment="1">
      <alignment horizontal="right"/>
    </xf>
    <xf numFmtId="0" fontId="17" fillId="0" borderId="0" xfId="0" applyFont="1"/>
    <xf numFmtId="0" fontId="19" fillId="0" borderId="0" xfId="0" applyFont="1"/>
    <xf numFmtId="0" fontId="15" fillId="0" borderId="0" xfId="0" applyFont="1"/>
    <xf numFmtId="167" fontId="16" fillId="0" borderId="0" xfId="0" applyNumberFormat="1" applyFont="1"/>
    <xf numFmtId="2" fontId="16" fillId="0" borderId="0" xfId="0" applyNumberFormat="1" applyFont="1"/>
    <xf numFmtId="167" fontId="15" fillId="0" borderId="0" xfId="0" applyNumberFormat="1" applyFont="1"/>
    <xf numFmtId="168" fontId="16" fillId="0" borderId="0" xfId="0" applyNumberFormat="1" applyFont="1"/>
    <xf numFmtId="167" fontId="17" fillId="5" borderId="0" xfId="0" applyNumberFormat="1" applyFont="1" applyFill="1"/>
    <xf numFmtId="0" fontId="17" fillId="0" borderId="7" xfId="0" applyFont="1" applyBorder="1" applyAlignment="1">
      <alignment horizontal="center" vertical="center"/>
    </xf>
    <xf numFmtId="3" fontId="20" fillId="0" borderId="0" xfId="0" applyNumberFormat="1" applyFont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0" fontId="17" fillId="0" borderId="9" xfId="0" applyFont="1" applyBorder="1"/>
    <xf numFmtId="0" fontId="10" fillId="0" borderId="9" xfId="0" applyFont="1" applyBorder="1"/>
    <xf numFmtId="3" fontId="15" fillId="0" borderId="9" xfId="0" applyNumberFormat="1" applyFont="1" applyBorder="1" applyAlignment="1">
      <alignment horizontal="right" vertical="center"/>
    </xf>
    <xf numFmtId="1" fontId="15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20" fillId="0" borderId="0" xfId="0" applyNumberFormat="1" applyFont="1"/>
    <xf numFmtId="3" fontId="15" fillId="0" borderId="0" xfId="0" applyNumberFormat="1" applyFont="1"/>
    <xf numFmtId="170" fontId="15" fillId="0" borderId="0" xfId="0" applyNumberFormat="1" applyFont="1"/>
    <xf numFmtId="3" fontId="17" fillId="6" borderId="9" xfId="0" applyNumberFormat="1" applyFont="1" applyFill="1" applyBorder="1"/>
    <xf numFmtId="3" fontId="17" fillId="5" borderId="9" xfId="0" applyNumberFormat="1" applyFont="1" applyFill="1" applyBorder="1"/>
    <xf numFmtId="0" fontId="17" fillId="0" borderId="1" xfId="0" applyFont="1" applyBorder="1"/>
    <xf numFmtId="166" fontId="17" fillId="0" borderId="2" xfId="0" applyNumberFormat="1" applyFont="1" applyBorder="1"/>
    <xf numFmtId="0" fontId="12" fillId="0" borderId="0" xfId="0" applyFont="1"/>
    <xf numFmtId="0" fontId="17" fillId="0" borderId="5" xfId="0" applyFont="1" applyBorder="1"/>
    <xf numFmtId="166" fontId="17" fillId="0" borderId="6" xfId="0" applyNumberFormat="1" applyFont="1" applyBorder="1"/>
    <xf numFmtId="166" fontId="16" fillId="0" borderId="0" xfId="0" applyNumberFormat="1" applyFont="1"/>
    <xf numFmtId="0" fontId="17" fillId="3" borderId="0" xfId="0" applyFont="1" applyFill="1" applyAlignment="1">
      <alignment horizontal="center" vertical="center"/>
    </xf>
    <xf numFmtId="167" fontId="17" fillId="3" borderId="0" xfId="0" applyNumberFormat="1" applyFont="1" applyFill="1" applyAlignment="1">
      <alignment horizontal="center" vertical="center"/>
    </xf>
    <xf numFmtId="166" fontId="21" fillId="7" borderId="10" xfId="0" applyNumberFormat="1" applyFont="1" applyFill="1" applyBorder="1" applyAlignment="1">
      <alignment horizontal="center" vertical="center"/>
    </xf>
    <xf numFmtId="166" fontId="21" fillId="8" borderId="10" xfId="0" applyNumberFormat="1" applyFont="1" applyFill="1" applyBorder="1" applyAlignment="1">
      <alignment horizontal="center" vertical="center"/>
    </xf>
    <xf numFmtId="166" fontId="22" fillId="5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wrapText="1"/>
    </xf>
    <xf numFmtId="0" fontId="17" fillId="0" borderId="0" xfId="0" applyFont="1" applyAlignment="1">
      <alignment horizontal="left" vertical="center" wrapText="1"/>
    </xf>
    <xf numFmtId="0" fontId="14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69" fontId="16" fillId="0" borderId="0" xfId="0" applyNumberFormat="1" applyFont="1" applyAlignment="1">
      <alignment horizontal="center" vertical="center"/>
    </xf>
    <xf numFmtId="169" fontId="19" fillId="9" borderId="0" xfId="0" applyNumberFormat="1" applyFont="1" applyFill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6" fontId="27" fillId="9" borderId="0" xfId="0" applyNumberFormat="1" applyFont="1" applyFill="1" applyAlignment="1">
      <alignment horizontal="center" vertical="center"/>
    </xf>
    <xf numFmtId="164" fontId="12" fillId="5" borderId="0" xfId="0" applyNumberFormat="1" applyFont="1" applyFill="1" applyAlignment="1">
      <alignment horizontal="center" vertical="center"/>
    </xf>
    <xf numFmtId="164" fontId="28" fillId="9" borderId="0" xfId="0" applyNumberFormat="1" applyFont="1" applyFill="1" applyAlignment="1">
      <alignment horizontal="center" vertical="center"/>
    </xf>
    <xf numFmtId="0" fontId="13" fillId="4" borderId="0" xfId="0" applyFont="1" applyFill="1"/>
    <xf numFmtId="0" fontId="14" fillId="4" borderId="0" xfId="0" applyFont="1" applyFill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6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71" fontId="27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10" fillId="0" borderId="0" xfId="0" applyNumberFormat="1" applyFont="1"/>
    <xf numFmtId="0" fontId="17" fillId="0" borderId="11" xfId="0" applyFont="1" applyBorder="1" applyAlignment="1">
      <alignment horizontal="left" vertical="center"/>
    </xf>
    <xf numFmtId="167" fontId="12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166" fontId="10" fillId="0" borderId="7" xfId="0" applyNumberFormat="1" applyFont="1" applyBorder="1" applyAlignment="1">
      <alignment horizontal="center" vertical="center"/>
    </xf>
    <xf numFmtId="166" fontId="12" fillId="0" borderId="0" xfId="0" applyNumberFormat="1" applyFont="1" applyAlignment="1">
      <alignment horizont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/>
    </xf>
    <xf numFmtId="168" fontId="10" fillId="0" borderId="0" xfId="0" applyNumberFormat="1" applyFont="1"/>
    <xf numFmtId="4" fontId="0" fillId="0" borderId="0" xfId="0" applyNumberFormat="1"/>
    <xf numFmtId="0" fontId="29" fillId="0" borderId="0" xfId="0" applyFont="1"/>
    <xf numFmtId="0" fontId="30" fillId="0" borderId="0" xfId="0" applyFont="1"/>
    <xf numFmtId="0" fontId="0" fillId="4" borderId="0" xfId="0" applyFill="1"/>
    <xf numFmtId="0" fontId="17" fillId="5" borderId="0" xfId="0" applyFont="1" applyFill="1" applyAlignment="1">
      <alignment horizontal="left" vertical="center"/>
    </xf>
    <xf numFmtId="164" fontId="20" fillId="5" borderId="0" xfId="0" applyNumberFormat="1" applyFont="1" applyFill="1" applyAlignment="1">
      <alignment horizontal="center" vertical="center"/>
    </xf>
    <xf numFmtId="164" fontId="15" fillId="5" borderId="0" xfId="0" applyNumberFormat="1" applyFont="1" applyFill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0" fontId="29" fillId="7" borderId="0" xfId="0" applyFont="1" applyFill="1"/>
    <xf numFmtId="167" fontId="16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center" vertical="center"/>
    </xf>
    <xf numFmtId="0" fontId="32" fillId="4" borderId="0" xfId="0" applyFont="1" applyFill="1"/>
    <xf numFmtId="0" fontId="29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9" fontId="29" fillId="0" borderId="0" xfId="0" applyNumberFormat="1" applyFont="1"/>
    <xf numFmtId="9" fontId="29" fillId="0" borderId="7" xfId="0" applyNumberFormat="1" applyFont="1" applyBorder="1" applyAlignment="1">
      <alignment horizontal="center" vertical="center"/>
    </xf>
    <xf numFmtId="9" fontId="29" fillId="0" borderId="7" xfId="0" applyNumberFormat="1" applyFont="1" applyBorder="1"/>
    <xf numFmtId="9" fontId="29" fillId="4" borderId="0" xfId="0" applyNumberFormat="1" applyFont="1" applyFill="1" applyAlignment="1">
      <alignment horizontal="center" vertical="center"/>
    </xf>
    <xf numFmtId="9" fontId="29" fillId="4" borderId="0" xfId="0" applyNumberFormat="1" applyFont="1" applyFill="1"/>
    <xf numFmtId="164" fontId="6" fillId="0" borderId="0" xfId="0" applyNumberFormat="1" applyFont="1" applyAlignment="1">
      <alignment horizontal="center" vertical="center"/>
    </xf>
    <xf numFmtId="9" fontId="13" fillId="4" borderId="0" xfId="0" applyNumberFormat="1" applyFont="1" applyFill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164" fontId="16" fillId="3" borderId="0" xfId="0" applyNumberFormat="1" applyFont="1" applyFill="1" applyAlignment="1">
      <alignment horizontal="center" vertical="center"/>
    </xf>
    <xf numFmtId="9" fontId="33" fillId="3" borderId="0" xfId="0" applyNumberFormat="1" applyFont="1" applyFill="1" applyAlignment="1">
      <alignment horizontal="center" vertical="center"/>
    </xf>
    <xf numFmtId="9" fontId="29" fillId="3" borderId="0" xfId="0" applyNumberFormat="1" applyFont="1" applyFill="1" applyAlignment="1">
      <alignment horizontal="center" vertical="center"/>
    </xf>
    <xf numFmtId="9" fontId="29" fillId="3" borderId="0" xfId="0" applyNumberFormat="1" applyFont="1" applyFill="1"/>
    <xf numFmtId="0" fontId="5" fillId="4" borderId="0" xfId="0" applyFont="1" applyFill="1"/>
    <xf numFmtId="0" fontId="34" fillId="0" borderId="0" xfId="0" applyFont="1"/>
    <xf numFmtId="1" fontId="10" fillId="0" borderId="0" xfId="0" applyNumberFormat="1" applyFont="1"/>
    <xf numFmtId="3" fontId="10" fillId="0" borderId="0" xfId="0" applyNumberFormat="1" applyFont="1"/>
    <xf numFmtId="9" fontId="10" fillId="0" borderId="0" xfId="0" applyNumberFormat="1" applyFont="1"/>
    <xf numFmtId="0" fontId="5" fillId="10" borderId="0" xfId="0" applyFont="1" applyFill="1"/>
    <xf numFmtId="0" fontId="10" fillId="10" borderId="0" xfId="0" applyFont="1" applyFill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39" fillId="2" borderId="0" xfId="0" applyFont="1" applyFill="1" applyAlignment="1">
      <alignment horizontal="left" vertical="center"/>
    </xf>
    <xf numFmtId="0" fontId="0" fillId="2" borderId="0" xfId="0" applyFill="1"/>
    <xf numFmtId="0" fontId="0" fillId="11" borderId="0" xfId="0" applyFill="1"/>
    <xf numFmtId="0" fontId="39" fillId="11" borderId="0" xfId="0" applyFont="1" applyFill="1" applyAlignment="1">
      <alignment horizontal="right" vertical="center"/>
    </xf>
    <xf numFmtId="0" fontId="40" fillId="0" borderId="0" xfId="0" applyFont="1" applyAlignment="1">
      <alignment horizontal="left" vertical="center"/>
    </xf>
    <xf numFmtId="164" fontId="41" fillId="0" borderId="0" xfId="0" applyNumberFormat="1" applyFont="1" applyAlignment="1">
      <alignment horizontal="right" vertical="center"/>
    </xf>
    <xf numFmtId="0" fontId="42" fillId="0" borderId="0" xfId="0" applyFont="1" applyAlignment="1">
      <alignment horizontal="left" vertical="center" indent="1"/>
    </xf>
    <xf numFmtId="164" fontId="43" fillId="0" borderId="0" xfId="0" applyNumberFormat="1" applyFont="1" applyAlignment="1">
      <alignment horizontal="right" vertical="center"/>
    </xf>
    <xf numFmtId="0" fontId="40" fillId="8" borderId="0" xfId="0" applyFont="1" applyFill="1" applyAlignment="1">
      <alignment horizontal="left" vertical="center"/>
    </xf>
    <xf numFmtId="164" fontId="41" fillId="8" borderId="0" xfId="0" applyNumberFormat="1" applyFont="1" applyFill="1" applyAlignment="1">
      <alignment horizontal="right" vertical="center"/>
    </xf>
    <xf numFmtId="0" fontId="0" fillId="8" borderId="0" xfId="0" applyFill="1"/>
    <xf numFmtId="0" fontId="42" fillId="0" borderId="0" xfId="0" applyFont="1" applyAlignment="1">
      <alignment horizontal="left" vertical="center"/>
    </xf>
    <xf numFmtId="165" fontId="43" fillId="0" borderId="0" xfId="0" applyNumberFormat="1" applyFont="1" applyAlignment="1">
      <alignment horizontal="right" vertical="center"/>
    </xf>
    <xf numFmtId="165" fontId="43" fillId="0" borderId="0" xfId="0" applyNumberFormat="1" applyFont="1" applyAlignment="1">
      <alignment horizontal="center" vertical="center"/>
    </xf>
    <xf numFmtId="0" fontId="39" fillId="4" borderId="0" xfId="0" applyFont="1" applyFill="1" applyAlignment="1">
      <alignment horizontal="left" vertical="center" indent="1"/>
    </xf>
    <xf numFmtId="164" fontId="44" fillId="12" borderId="0" xfId="0" applyNumberFormat="1" applyFont="1" applyFill="1" applyAlignment="1">
      <alignment horizontal="center"/>
    </xf>
    <xf numFmtId="0" fontId="44" fillId="12" borderId="0" xfId="0" applyFont="1" applyFill="1" applyAlignment="1">
      <alignment horizontal="center"/>
    </xf>
    <xf numFmtId="0" fontId="45" fillId="0" borderId="0" xfId="0" applyFont="1" applyAlignment="1">
      <alignment horizontal="left" vertical="center" indent="1"/>
    </xf>
    <xf numFmtId="0" fontId="46" fillId="0" borderId="0" xfId="0" applyFont="1" applyAlignment="1">
      <alignment horizontal="left" vertical="center" indent="1"/>
    </xf>
    <xf numFmtId="3" fontId="47" fillId="0" borderId="0" xfId="0" applyNumberFormat="1" applyFont="1" applyAlignment="1">
      <alignment horizontal="center"/>
    </xf>
    <xf numFmtId="0" fontId="46" fillId="8" borderId="0" xfId="0" applyFont="1" applyFill="1" applyAlignment="1">
      <alignment horizontal="left" vertical="center"/>
    </xf>
    <xf numFmtId="3" fontId="47" fillId="8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/>
    </xf>
    <xf numFmtId="0" fontId="45" fillId="0" borderId="0" xfId="0" applyFont="1"/>
    <xf numFmtId="0" fontId="46" fillId="0" borderId="0" xfId="0" applyFont="1"/>
    <xf numFmtId="0" fontId="49" fillId="0" borderId="7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3" fontId="43" fillId="0" borderId="0" xfId="0" applyNumberFormat="1" applyFont="1" applyAlignment="1">
      <alignment horizontal="center"/>
    </xf>
    <xf numFmtId="164" fontId="43" fillId="0" borderId="7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42" fillId="4" borderId="0" xfId="0" applyFont="1" applyFill="1" applyAlignment="1">
      <alignment horizontal="center" vertical="center"/>
    </xf>
    <xf numFmtId="0" fontId="52" fillId="0" borderId="7" xfId="0" applyFont="1" applyBorder="1" applyAlignment="1">
      <alignment horizontal="center"/>
    </xf>
    <xf numFmtId="0" fontId="53" fillId="0" borderId="7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43" fillId="4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4" fillId="11" borderId="0" xfId="0" applyFont="1" applyFill="1" applyAlignment="1">
      <alignment horizontal="center" vertical="center"/>
    </xf>
    <xf numFmtId="0" fontId="55" fillId="0" borderId="0" xfId="0" applyFont="1" applyAlignment="1">
      <alignment horizontal="left" vertical="center"/>
    </xf>
    <xf numFmtId="164" fontId="47" fillId="0" borderId="0" xfId="0" applyNumberFormat="1" applyFont="1" applyAlignment="1">
      <alignment horizontal="right" vertical="center"/>
    </xf>
    <xf numFmtId="0" fontId="56" fillId="0" borderId="0" xfId="0" applyFont="1" applyAlignment="1">
      <alignment horizontal="left" vertical="center"/>
    </xf>
    <xf numFmtId="174" fontId="56" fillId="0" borderId="0" xfId="0" applyNumberFormat="1" applyFont="1" applyAlignment="1">
      <alignment horizontal="right" vertical="center"/>
    </xf>
    <xf numFmtId="175" fontId="47" fillId="0" borderId="0" xfId="0" applyNumberFormat="1" applyFont="1" applyAlignment="1">
      <alignment horizontal="right" vertical="center"/>
    </xf>
    <xf numFmtId="165" fontId="47" fillId="0" borderId="0" xfId="0" applyNumberFormat="1" applyFont="1" applyAlignment="1">
      <alignment horizontal="right" vertical="center"/>
    </xf>
    <xf numFmtId="165" fontId="56" fillId="0" borderId="0" xfId="0" applyNumberFormat="1" applyFont="1" applyAlignment="1">
      <alignment horizontal="right" vertical="center"/>
    </xf>
    <xf numFmtId="164" fontId="56" fillId="0" borderId="0" xfId="0" applyNumberFormat="1" applyFont="1" applyAlignment="1">
      <alignment horizontal="right" vertical="center"/>
    </xf>
    <xf numFmtId="176" fontId="55" fillId="0" borderId="0" xfId="0" applyNumberFormat="1" applyFont="1" applyAlignment="1">
      <alignment horizontal="right" vertical="center"/>
    </xf>
    <xf numFmtId="164" fontId="55" fillId="0" borderId="0" xfId="0" applyNumberFormat="1" applyFont="1" applyAlignment="1">
      <alignment horizontal="right" vertical="center"/>
    </xf>
    <xf numFmtId="0" fontId="57" fillId="0" borderId="0" xfId="0" applyFont="1" applyAlignment="1">
      <alignment horizontal="left" vertical="center"/>
    </xf>
    <xf numFmtId="164" fontId="57" fillId="8" borderId="0" xfId="0" applyNumberFormat="1" applyFont="1" applyFill="1" applyAlignment="1">
      <alignment horizontal="right" vertical="center"/>
    </xf>
    <xf numFmtId="174" fontId="56" fillId="8" borderId="0" xfId="0" applyNumberFormat="1" applyFont="1" applyFill="1" applyAlignment="1">
      <alignment horizontal="right" vertical="center"/>
    </xf>
    <xf numFmtId="176" fontId="56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44" fillId="2" borderId="0" xfId="0" applyFont="1" applyFill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6" fillId="3" borderId="0" xfId="0" applyFont="1" applyFill="1" applyAlignment="1">
      <alignment horizontal="left" vertical="center"/>
    </xf>
    <xf numFmtId="178" fontId="16" fillId="0" borderId="0" xfId="1" applyNumberFormat="1" applyFont="1"/>
    <xf numFmtId="0" fontId="10" fillId="0" borderId="0" xfId="0" applyFont="1" applyFill="1"/>
    <xf numFmtId="0" fontId="60" fillId="0" borderId="1" xfId="0" applyFont="1" applyFill="1" applyBorder="1"/>
    <xf numFmtId="0" fontId="60" fillId="0" borderId="5" xfId="0" applyFont="1" applyFill="1" applyBorder="1"/>
    <xf numFmtId="0" fontId="59" fillId="13" borderId="1" xfId="0" applyFont="1" applyFill="1" applyBorder="1"/>
    <xf numFmtId="10" fontId="60" fillId="0" borderId="13" xfId="0" applyNumberFormat="1" applyFont="1" applyBorder="1" applyAlignment="1">
      <alignment horizontal="center"/>
    </xf>
    <xf numFmtId="9" fontId="60" fillId="0" borderId="4" xfId="0" applyNumberFormat="1" applyFont="1" applyBorder="1" applyAlignment="1">
      <alignment horizontal="center"/>
    </xf>
    <xf numFmtId="0" fontId="60" fillId="0" borderId="7" xfId="0" applyFont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59" fillId="13" borderId="13" xfId="0" applyFont="1" applyFill="1" applyBorder="1" applyAlignment="1">
      <alignment horizontal="center"/>
    </xf>
    <xf numFmtId="0" fontId="59" fillId="13" borderId="2" xfId="0" applyFont="1" applyFill="1" applyBorder="1" applyAlignment="1">
      <alignment horizontal="center"/>
    </xf>
    <xf numFmtId="167" fontId="60" fillId="5" borderId="12" xfId="0" applyNumberFormat="1" applyFont="1" applyFill="1" applyBorder="1" applyAlignment="1">
      <alignment horizontal="center"/>
    </xf>
    <xf numFmtId="172" fontId="60" fillId="5" borderId="12" xfId="0" applyNumberFormat="1" applyFont="1" applyFill="1" applyBorder="1" applyAlignment="1">
      <alignment horizontal="center"/>
    </xf>
    <xf numFmtId="9" fontId="60" fillId="5" borderId="12" xfId="0" applyNumberFormat="1" applyFont="1" applyFill="1" applyBorder="1" applyAlignment="1">
      <alignment horizontal="center"/>
    </xf>
    <xf numFmtId="173" fontId="60" fillId="5" borderId="12" xfId="0" applyNumberFormat="1" applyFont="1" applyFill="1" applyBorder="1" applyAlignment="1">
      <alignment horizontal="center"/>
    </xf>
    <xf numFmtId="166" fontId="60" fillId="0" borderId="0" xfId="0" applyNumberFormat="1" applyFont="1" applyAlignment="1">
      <alignment horizontal="center"/>
    </xf>
    <xf numFmtId="166" fontId="61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11578"/>
      <rgbColor rgb="FF808000"/>
      <rgbColor rgb="FF800080"/>
      <rgbColor rgb="FF008080"/>
      <rgbColor rgb="FFBFBFBF"/>
      <rgbColor rgb="FF808080"/>
      <rgbColor rgb="FF9999FF"/>
      <rgbColor rgb="FF595959"/>
      <rgbColor rgb="FFF2F2F2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6E4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444444"/>
      <rgbColor rgb="FF40404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11578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CE6F2"/>
  </sheetPr>
  <dimension ref="A1:C26"/>
  <sheetViews>
    <sheetView showGridLines="0" zoomScale="150" zoomScaleNormal="150" workbookViewId="0">
      <selection activeCell="C18" sqref="C18"/>
    </sheetView>
  </sheetViews>
  <sheetFormatPr baseColWidth="10" defaultColWidth="8.6640625" defaultRowHeight="15"/>
  <cols>
    <col min="1" max="1" width="10" customWidth="1"/>
    <col min="2" max="2" width="40" customWidth="1"/>
    <col min="3" max="3" width="50.5" customWidth="1"/>
  </cols>
  <sheetData>
    <row r="1" spans="1:3" ht="15" customHeight="1">
      <c r="A1" s="3"/>
      <c r="B1" s="3"/>
      <c r="C1" s="3"/>
    </row>
    <row r="2" spans="1:3" ht="19.5" customHeight="1">
      <c r="A2" s="3"/>
      <c r="B2" s="4" t="s">
        <v>0</v>
      </c>
      <c r="C2" s="3"/>
    </row>
    <row r="3" spans="1:3" ht="15.75" customHeight="1">
      <c r="A3" s="3"/>
      <c r="B3" s="5" t="s">
        <v>1</v>
      </c>
      <c r="C3" s="3"/>
    </row>
    <row r="4" spans="1:3" ht="15" customHeight="1">
      <c r="A4" s="3"/>
      <c r="B4" s="6" t="s">
        <v>2</v>
      </c>
      <c r="C4" s="3"/>
    </row>
    <row r="5" spans="1:3" ht="15" customHeight="1">
      <c r="A5" s="3"/>
      <c r="B5" s="6" t="s">
        <v>3</v>
      </c>
      <c r="C5" s="3"/>
    </row>
    <row r="6" spans="1:3" ht="9.75" customHeight="1">
      <c r="A6" s="3"/>
      <c r="B6" s="3"/>
      <c r="C6" s="3"/>
    </row>
    <row r="7" spans="1:3" ht="15" customHeight="1">
      <c r="A7" s="3"/>
      <c r="B7" s="3"/>
      <c r="C7" s="3"/>
    </row>
    <row r="8" spans="1:3" ht="15.75" customHeight="1">
      <c r="A8" s="3"/>
      <c r="B8" s="7" t="s">
        <v>4</v>
      </c>
      <c r="C8" s="7" t="s">
        <v>5</v>
      </c>
    </row>
    <row r="9" spans="1:3" ht="13.5" customHeight="1">
      <c r="A9" s="3"/>
      <c r="B9" s="8" t="s">
        <v>6</v>
      </c>
      <c r="C9" s="9" t="s">
        <v>7</v>
      </c>
    </row>
    <row r="10" spans="1:3" ht="13.5" customHeight="1">
      <c r="A10" s="3"/>
      <c r="B10" s="10" t="s">
        <v>8</v>
      </c>
      <c r="C10" s="11" t="s">
        <v>9</v>
      </c>
    </row>
    <row r="11" spans="1:3" ht="13.5" customHeight="1">
      <c r="A11" s="3"/>
      <c r="B11" s="8" t="s">
        <v>10</v>
      </c>
      <c r="C11" s="9" t="s">
        <v>11</v>
      </c>
    </row>
    <row r="12" spans="1:3" ht="13.5" customHeight="1">
      <c r="A12" s="3"/>
      <c r="B12" s="10" t="s">
        <v>12</v>
      </c>
      <c r="C12" s="11" t="s">
        <v>13</v>
      </c>
    </row>
    <row r="13" spans="1:3" ht="13.5" customHeight="1">
      <c r="A13" s="3"/>
      <c r="B13" s="8" t="s">
        <v>14</v>
      </c>
      <c r="C13" s="9" t="s">
        <v>15</v>
      </c>
    </row>
    <row r="14" spans="1:3" ht="13.5" customHeight="1">
      <c r="A14" s="3"/>
      <c r="B14" s="10" t="s">
        <v>16</v>
      </c>
      <c r="C14" s="11" t="s">
        <v>17</v>
      </c>
    </row>
    <row r="15" spans="1:3" ht="15" customHeight="1">
      <c r="A15" s="3"/>
      <c r="B15" s="3"/>
      <c r="C15" s="3"/>
    </row>
    <row r="16" spans="1:3" ht="15" customHeight="1">
      <c r="A16" s="3"/>
      <c r="B16" s="3"/>
      <c r="C16" s="3"/>
    </row>
    <row r="17" spans="1:3" ht="15" customHeight="1">
      <c r="A17" s="3"/>
      <c r="B17" s="12" t="s">
        <v>18</v>
      </c>
      <c r="C17" s="13">
        <v>2</v>
      </c>
    </row>
    <row r="18" spans="1:3" ht="15" customHeight="1">
      <c r="A18" s="3"/>
      <c r="B18" s="14">
        <v>1</v>
      </c>
      <c r="C18" s="15" t="s">
        <v>19</v>
      </c>
    </row>
    <row r="19" spans="1:3" ht="15" customHeight="1">
      <c r="A19" s="3"/>
      <c r="B19" s="16">
        <v>2</v>
      </c>
      <c r="C19" s="17" t="s">
        <v>20</v>
      </c>
    </row>
    <row r="20" spans="1:3" ht="15" customHeight="1">
      <c r="A20" s="3"/>
      <c r="B20" s="3"/>
      <c r="C20" s="3"/>
    </row>
    <row r="21" spans="1:3" ht="15" customHeight="1">
      <c r="A21" s="3"/>
      <c r="B21" s="3"/>
      <c r="C21" s="3"/>
    </row>
    <row r="22" spans="1:3" ht="15" customHeight="1">
      <c r="A22" s="3"/>
      <c r="B22" s="3"/>
      <c r="C22" s="3"/>
    </row>
    <row r="23" spans="1:3" ht="15" customHeight="1">
      <c r="A23" s="3"/>
      <c r="B23" s="3"/>
      <c r="C23" s="3"/>
    </row>
    <row r="24" spans="1:3" ht="15" customHeight="1">
      <c r="A24" s="3"/>
      <c r="B24" s="3"/>
      <c r="C24" s="3"/>
    </row>
    <row r="25" spans="1:3" ht="15" customHeight="1">
      <c r="A25" s="3"/>
      <c r="B25" s="3"/>
      <c r="C25" s="3"/>
    </row>
    <row r="26" spans="1:3" ht="15" customHeight="1">
      <c r="A26" s="3"/>
      <c r="B26" s="3"/>
      <c r="C26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U66"/>
  <sheetViews>
    <sheetView showGridLines="0" topLeftCell="A25" zoomScale="105" zoomScaleNormal="100" workbookViewId="0">
      <selection activeCell="R11" sqref="R11"/>
    </sheetView>
  </sheetViews>
  <sheetFormatPr baseColWidth="10" defaultColWidth="8.6640625" defaultRowHeight="15"/>
  <cols>
    <col min="1" max="1" width="3.1640625" customWidth="1"/>
    <col min="2" max="2" width="2.33203125" customWidth="1"/>
    <col min="3" max="3" width="48" customWidth="1"/>
    <col min="4" max="18" width="12.83203125" customWidth="1"/>
  </cols>
  <sheetData>
    <row r="1" spans="1:21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8" customHeight="1">
      <c r="A2" s="3"/>
      <c r="B2" s="3"/>
      <c r="C2" s="18" t="s">
        <v>21</v>
      </c>
      <c r="D2" s="19"/>
      <c r="E2" s="19"/>
      <c r="F2" s="19"/>
      <c r="G2" s="19"/>
      <c r="H2" s="1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3.5" customHeight="1">
      <c r="A3" s="3"/>
      <c r="B3" s="3"/>
      <c r="C3" s="20" t="s">
        <v>22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6" customHeight="1">
      <c r="A4" s="3"/>
      <c r="B4" s="3"/>
      <c r="C4" s="3"/>
      <c r="D4" s="21"/>
      <c r="E4" s="21"/>
      <c r="F4" s="21"/>
      <c r="G4" s="21"/>
      <c r="H4" s="2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3.5" customHeight="1">
      <c r="A5" s="3"/>
      <c r="B5" s="3"/>
      <c r="C5" s="22"/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 s="1" t="s">
        <v>35</v>
      </c>
      <c r="Q5" s="1" t="s">
        <v>36</v>
      </c>
      <c r="R5" s="1" t="s">
        <v>37</v>
      </c>
      <c r="S5" s="23"/>
      <c r="T5" s="3"/>
      <c r="U5" s="3"/>
    </row>
    <row r="6" spans="1:21" ht="3.75" customHeight="1">
      <c r="A6" s="3"/>
      <c r="B6" s="3"/>
      <c r="C6" s="24"/>
      <c r="D6" s="25"/>
      <c r="E6" s="25"/>
      <c r="F6" s="25"/>
      <c r="G6" s="25"/>
      <c r="H6" s="2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3.5" customHeight="1">
      <c r="A7" s="3"/>
      <c r="B7" s="26"/>
      <c r="C7" s="27" t="s">
        <v>38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3"/>
      <c r="T7" s="3"/>
      <c r="U7" s="3"/>
    </row>
    <row r="8" spans="1:21" ht="13.5" customHeight="1">
      <c r="A8" s="3"/>
      <c r="B8" s="3"/>
      <c r="C8" s="29" t="s">
        <v>39</v>
      </c>
      <c r="D8" s="30">
        <v>1474984</v>
      </c>
      <c r="E8" s="30">
        <v>1868003</v>
      </c>
      <c r="F8" s="30">
        <v>2587758</v>
      </c>
      <c r="G8" s="30">
        <v>3135772</v>
      </c>
      <c r="H8" s="30">
        <v>3481933</v>
      </c>
      <c r="I8" s="31">
        <v>0</v>
      </c>
      <c r="J8" s="31">
        <v>0</v>
      </c>
      <c r="K8" s="31">
        <f>J8+(J8*Assumptions!P8)</f>
        <v>0</v>
      </c>
      <c r="L8" s="31">
        <f>K8+(K8*Assumptions!Q8)</f>
        <v>0</v>
      </c>
      <c r="M8" s="31">
        <f>L8+(L8*Assumptions!R8)</f>
        <v>0</v>
      </c>
      <c r="N8" s="31">
        <f>M8+(M8*Assumptions!S8)</f>
        <v>0</v>
      </c>
      <c r="O8" s="31">
        <f>N8+(N8*Assumptions!T8)</f>
        <v>0</v>
      </c>
      <c r="P8" s="31">
        <f>O8+(O8*Assumptions!U8)</f>
        <v>0</v>
      </c>
      <c r="Q8" s="31">
        <f>P8+(P8*Assumptions!V8)</f>
        <v>0</v>
      </c>
      <c r="R8" s="31">
        <f>Q8+(Q8*Assumptions!W8)</f>
        <v>0</v>
      </c>
      <c r="S8" s="3"/>
      <c r="T8" s="3"/>
      <c r="U8" s="3"/>
    </row>
    <row r="9" spans="1:21" ht="13.5" customHeight="1">
      <c r="A9" s="3"/>
      <c r="B9" s="3"/>
      <c r="C9" s="32" t="str">
        <f>'Segment Drivers'!A36</f>
        <v>Uranium Revenue</v>
      </c>
      <c r="D9" s="33">
        <f>'Segment Drivers'!B36</f>
        <v>1055000</v>
      </c>
      <c r="E9" s="33">
        <f>'Segment Drivers'!C36</f>
        <v>1480000</v>
      </c>
      <c r="F9" s="33">
        <f>'Segment Drivers'!D36</f>
        <v>2152000</v>
      </c>
      <c r="G9" s="33">
        <f>'Segment Drivers'!E36</f>
        <v>2677000</v>
      </c>
      <c r="H9" s="33">
        <f>'Segment Drivers'!F36</f>
        <v>2874000</v>
      </c>
      <c r="I9" s="34">
        <f>'2026 Interim'!C126</f>
        <v>2746070</v>
      </c>
      <c r="J9" s="34">
        <f>'Uranium Spot Rate'!G10</f>
        <v>3209950.8221853822</v>
      </c>
      <c r="K9" s="34">
        <f>'Uranium Spot Rate'!H10</f>
        <v>3649839.6158427056</v>
      </c>
      <c r="L9" s="34">
        <f>'Uranium Spot Rate'!I10</f>
        <v>4129150.392035298</v>
      </c>
      <c r="M9" s="34">
        <f>'Uranium Spot Rate'!J10</f>
        <v>4650898.5260437913</v>
      </c>
      <c r="N9" s="34">
        <f>'Uranium Spot Rate'!K10</f>
        <v>5218311.0206711078</v>
      </c>
      <c r="O9" s="34">
        <f>'Uranium Spot Rate'!L10</f>
        <v>5834840.5628040135</v>
      </c>
      <c r="P9" s="34">
        <f>'Uranium Spot Rate'!M10</f>
        <v>6504180.4781743959</v>
      </c>
      <c r="Q9" s="34">
        <f>'Uranium Spot Rate'!N10</f>
        <v>7230280.6400794648</v>
      </c>
      <c r="R9" s="34">
        <f>'Uranium Spot Rate'!O10</f>
        <v>8017364.3912044922</v>
      </c>
      <c r="S9" s="3"/>
      <c r="T9" s="3"/>
      <c r="U9" s="3"/>
    </row>
    <row r="10" spans="1:21" ht="13.5" customHeight="1">
      <c r="A10" s="3"/>
      <c r="B10" s="3"/>
      <c r="C10" s="32" t="str">
        <f>'Segment Drivers'!A37</f>
        <v>Fuel Services Revenue</v>
      </c>
      <c r="D10" s="33">
        <f>'Segment Drivers'!B37</f>
        <v>404000</v>
      </c>
      <c r="E10" s="33">
        <f>'Segment Drivers'!C37</f>
        <v>365000</v>
      </c>
      <c r="F10" s="33">
        <f>'Segment Drivers'!D37</f>
        <v>426000</v>
      </c>
      <c r="G10" s="33">
        <f>'Segment Drivers'!E37</f>
        <v>459000</v>
      </c>
      <c r="H10" s="33">
        <f>'Segment Drivers'!F37</f>
        <v>562000</v>
      </c>
      <c r="I10" s="34">
        <f>'2026 Interim'!C127</f>
        <v>572000</v>
      </c>
      <c r="J10" s="34">
        <f>I10+(I10*Assumptions!O10)</f>
        <v>661420.55939260672</v>
      </c>
      <c r="K10" s="34">
        <f>J10+(J10*Assumptions!P10)</f>
        <v>764820.20347417623</v>
      </c>
      <c r="L10" s="34">
        <f>K10+(K10*Assumptions!Q10)</f>
        <v>884384.27765149821</v>
      </c>
      <c r="M10" s="34">
        <f>L10+(L10*Assumptions!R10)</f>
        <v>1022639.7616123783</v>
      </c>
      <c r="N10" s="34">
        <f>M10+(M10*Assumptions!S10)</f>
        <v>1182508.6768929742</v>
      </c>
      <c r="O10" s="34">
        <f>N10+(N10*Assumptions!T10)</f>
        <v>1367369.8436314026</v>
      </c>
      <c r="P10" s="34">
        <f>O10+(O10*Assumptions!U10)</f>
        <v>1581130.2917329783</v>
      </c>
      <c r="Q10" s="34">
        <f>P10+(P10*Assumptions!V10)</f>
        <v>1828307.8357178706</v>
      </c>
      <c r="R10" s="34">
        <f>Q10+(Q10*Assumptions!W10)</f>
        <v>2114126.5584657346</v>
      </c>
      <c r="S10" s="3"/>
      <c r="T10" s="3"/>
      <c r="U10" s="3"/>
    </row>
    <row r="11" spans="1:21" ht="13.5" customHeight="1">
      <c r="A11" s="3"/>
      <c r="B11" s="3"/>
      <c r="C11" s="35" t="s">
        <v>40</v>
      </c>
      <c r="D11" s="36">
        <v>0</v>
      </c>
      <c r="E11" s="36">
        <v>0</v>
      </c>
      <c r="F11" s="36">
        <v>0</v>
      </c>
      <c r="G11" s="36">
        <v>0</v>
      </c>
      <c r="H11" s="36">
        <v>46</v>
      </c>
      <c r="I11" s="37" t="s">
        <v>41</v>
      </c>
      <c r="J11" s="37" t="s">
        <v>41</v>
      </c>
      <c r="K11" s="37" t="s">
        <v>41</v>
      </c>
      <c r="L11" s="37" t="s">
        <v>41</v>
      </c>
      <c r="M11" s="37" t="s">
        <v>41</v>
      </c>
      <c r="N11" s="37" t="s">
        <v>41</v>
      </c>
      <c r="O11" s="37" t="s">
        <v>41</v>
      </c>
      <c r="P11" s="37" t="s">
        <v>41</v>
      </c>
      <c r="Q11" s="37" t="s">
        <v>41</v>
      </c>
      <c r="R11" s="37" t="s">
        <v>41</v>
      </c>
      <c r="S11" s="3"/>
      <c r="T11" s="3"/>
      <c r="U11" s="3"/>
    </row>
    <row r="12" spans="1:21" ht="13.5" customHeight="1">
      <c r="A12" s="3"/>
      <c r="B12" s="3"/>
      <c r="C12" s="38" t="s">
        <v>42</v>
      </c>
      <c r="D12" s="33">
        <f t="shared" ref="D12:R12" si="0">SUM(D9:D11)</f>
        <v>1459000</v>
      </c>
      <c r="E12" s="33">
        <f t="shared" si="0"/>
        <v>1845000</v>
      </c>
      <c r="F12" s="33">
        <f t="shared" si="0"/>
        <v>2578000</v>
      </c>
      <c r="G12" s="33">
        <f t="shared" si="0"/>
        <v>3136000</v>
      </c>
      <c r="H12" s="33">
        <f t="shared" si="0"/>
        <v>3436046</v>
      </c>
      <c r="I12" s="39">
        <f t="shared" si="0"/>
        <v>3318070</v>
      </c>
      <c r="J12" s="39">
        <f t="shared" si="0"/>
        <v>3871371.3815779891</v>
      </c>
      <c r="K12" s="39">
        <f t="shared" si="0"/>
        <v>4414659.8193168817</v>
      </c>
      <c r="L12" s="39">
        <f t="shared" si="0"/>
        <v>5013534.6696867961</v>
      </c>
      <c r="M12" s="39">
        <f t="shared" si="0"/>
        <v>5673538.2876561694</v>
      </c>
      <c r="N12" s="39">
        <f t="shared" si="0"/>
        <v>6400819.6975640822</v>
      </c>
      <c r="O12" s="39">
        <f t="shared" si="0"/>
        <v>7202210.4064354161</v>
      </c>
      <c r="P12" s="39">
        <f t="shared" si="0"/>
        <v>8085310.7699073739</v>
      </c>
      <c r="Q12" s="39">
        <f t="shared" si="0"/>
        <v>9058588.4757973347</v>
      </c>
      <c r="R12" s="39">
        <f t="shared" si="0"/>
        <v>10131490.949670227</v>
      </c>
      <c r="S12" s="3"/>
      <c r="T12" s="3"/>
      <c r="U12" s="3"/>
    </row>
    <row r="13" spans="1:21" ht="13.5" customHeight="1">
      <c r="A13" s="3"/>
      <c r="B13" s="3"/>
      <c r="C13" s="3"/>
      <c r="D13" s="40"/>
      <c r="E13" s="40"/>
      <c r="F13" s="40"/>
      <c r="G13" s="40"/>
      <c r="H13" s="40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3"/>
      <c r="T13" s="3"/>
      <c r="U13" s="3"/>
    </row>
    <row r="14" spans="1:21" ht="13.5" customHeight="1">
      <c r="A14" s="3"/>
      <c r="B14" s="26"/>
      <c r="C14" s="42" t="s">
        <v>43</v>
      </c>
      <c r="D14" s="43"/>
      <c r="E14" s="43"/>
      <c r="F14" s="43"/>
      <c r="G14" s="43"/>
      <c r="H14" s="43"/>
      <c r="I14" s="44"/>
      <c r="J14" s="43"/>
      <c r="K14" s="43"/>
      <c r="L14" s="43"/>
      <c r="M14" s="43"/>
      <c r="N14" s="43"/>
      <c r="O14" s="43"/>
      <c r="P14" s="43"/>
      <c r="Q14" s="43"/>
      <c r="R14" s="43"/>
      <c r="S14" s="3"/>
      <c r="T14" s="3"/>
      <c r="U14" s="3"/>
    </row>
    <row r="15" spans="1:21" ht="13.5" customHeight="1">
      <c r="A15" s="3"/>
      <c r="B15" s="3"/>
      <c r="C15" s="32" t="s">
        <v>44</v>
      </c>
      <c r="D15" s="33">
        <v>1282635</v>
      </c>
      <c r="E15" s="33">
        <v>1457336</v>
      </c>
      <c r="F15" s="33">
        <v>1805768</v>
      </c>
      <c r="G15" s="33">
        <v>2072488</v>
      </c>
      <c r="H15" s="33">
        <v>2218566</v>
      </c>
      <c r="I15" s="39">
        <v>0</v>
      </c>
      <c r="J15" s="45">
        <v>0</v>
      </c>
      <c r="K15" s="45">
        <f>J15*(1+Assumptions!P15)</f>
        <v>0</v>
      </c>
      <c r="L15" s="45">
        <f>K15*(1+Assumptions!Q15)</f>
        <v>0</v>
      </c>
      <c r="M15" s="45">
        <f>L15*(1+Assumptions!R15)</f>
        <v>0</v>
      </c>
      <c r="N15" s="45">
        <f>M15*(1+Assumptions!S15)</f>
        <v>0</v>
      </c>
      <c r="O15" s="45">
        <f>N15*(1+Assumptions!T15)</f>
        <v>0</v>
      </c>
      <c r="P15" s="45">
        <f>O15*(1+Assumptions!T15)</f>
        <v>0</v>
      </c>
      <c r="Q15" s="45">
        <f>P15*(1+Assumptions!T15)</f>
        <v>0</v>
      </c>
      <c r="R15" s="45">
        <f>Q15*(1+Assumptions!U15)</f>
        <v>0</v>
      </c>
      <c r="S15" s="3"/>
      <c r="T15" s="3"/>
      <c r="U15" s="3"/>
    </row>
    <row r="16" spans="1:21" ht="13.5" customHeight="1">
      <c r="A16" s="3"/>
      <c r="B16" s="3"/>
      <c r="C16" s="46" t="s">
        <v>45</v>
      </c>
      <c r="D16" s="30">
        <v>1028816</v>
      </c>
      <c r="E16" s="30">
        <v>1223558</v>
      </c>
      <c r="F16" s="30">
        <v>1532316</v>
      </c>
      <c r="G16" s="30">
        <v>1757155</v>
      </c>
      <c r="H16" s="30">
        <v>1824516</v>
      </c>
      <c r="I16" s="39">
        <f>'2026 Interim'!C133</f>
        <v>1677200</v>
      </c>
      <c r="J16" s="45">
        <f>I16*(1+Assumptions!O16)</f>
        <v>1837881.9877001438</v>
      </c>
      <c r="K16" s="45">
        <f>J16*(1+Assumptions!P16)</f>
        <v>2013957.9064587597</v>
      </c>
      <c r="L16" s="45">
        <f>K16*(1+Assumptions!Q16)</f>
        <v>2206902.5520312698</v>
      </c>
      <c r="M16" s="45">
        <f>L16*(1+Assumptions!R16)</f>
        <v>2418332.0110826083</v>
      </c>
      <c r="N16" s="45">
        <f>M16*(1+Assumptions!S16)</f>
        <v>2650017.1973809865</v>
      </c>
      <c r="O16" s="45">
        <f>N16*(1+Assumptions!T16)</f>
        <v>2903898.6848092848</v>
      </c>
      <c r="P16" s="45">
        <f>O16*(1+Assumptions!T16)</f>
        <v>3182102.9614340104</v>
      </c>
      <c r="Q16" s="45">
        <f>P16*(1+Assumptions!T16)</f>
        <v>3486960.2407744178</v>
      </c>
      <c r="R16" s="45">
        <f>Q16*(1+Assumptions!U16)</f>
        <v>3821023.9794573453</v>
      </c>
      <c r="S16" s="3"/>
      <c r="T16" s="3"/>
      <c r="U16" s="3"/>
    </row>
    <row r="17" spans="1:21" ht="13.5" customHeight="1">
      <c r="A17" s="3"/>
      <c r="B17" s="3"/>
      <c r="C17" s="46" t="s">
        <v>46</v>
      </c>
      <c r="D17" s="30">
        <v>242574</v>
      </c>
      <c r="E17" s="30">
        <v>215660</v>
      </c>
      <c r="F17" s="30">
        <v>266062</v>
      </c>
      <c r="G17" s="30">
        <v>316040</v>
      </c>
      <c r="H17" s="30">
        <v>348800</v>
      </c>
      <c r="I17" s="39">
        <f>'2026 Interim'!C134</f>
        <v>379118</v>
      </c>
      <c r="J17" s="45">
        <f>I17*(1+Assumptions!O17)</f>
        <v>418416.52449057082</v>
      </c>
      <c r="K17" s="45">
        <f>J17*(1+Assumptions!P17)</f>
        <v>461788.64619134006</v>
      </c>
      <c r="L17" s="45">
        <f>K17*(1+Assumptions!Q17)</f>
        <v>509656.62508397485</v>
      </c>
      <c r="M17" s="45">
        <f>L17*(1+Assumptions!R17)</f>
        <v>562486.49167602346</v>
      </c>
      <c r="N17" s="45">
        <f>M17*(1+Assumptions!S17)</f>
        <v>620792.58415579353</v>
      </c>
      <c r="O17" s="45">
        <f>N17*(1+Assumptions!T17)</f>
        <v>685142.55585856468</v>
      </c>
      <c r="P17" s="45">
        <f>O17*(1+Assumptions!T17)</f>
        <v>756162.90179555549</v>
      </c>
      <c r="Q17" s="45">
        <f>P17*(1+Assumptions!T17)</f>
        <v>834545.05805053085</v>
      </c>
      <c r="R17" s="45">
        <f>Q17*(1+Assumptions!U17)</f>
        <v>921052.13342622831</v>
      </c>
      <c r="S17" s="3"/>
      <c r="T17" s="3"/>
      <c r="U17" s="3"/>
    </row>
    <row r="18" spans="1:21" ht="13.5" customHeight="1">
      <c r="A18" s="3"/>
      <c r="B18" s="3"/>
      <c r="C18" s="35" t="s">
        <v>47</v>
      </c>
      <c r="D18" s="36">
        <v>190415</v>
      </c>
      <c r="E18" s="36">
        <v>177376</v>
      </c>
      <c r="F18" s="36">
        <v>220324</v>
      </c>
      <c r="G18" s="36">
        <v>280702</v>
      </c>
      <c r="H18" s="36">
        <v>293094</v>
      </c>
      <c r="I18" s="47">
        <f>'2026 Interim'!C135</f>
        <v>278514</v>
      </c>
      <c r="J18" s="48">
        <f>I18*(1+Assumptions!O18)</f>
        <v>290809.4075425184</v>
      </c>
      <c r="K18" s="48">
        <f>J18*(1+Assumptions!P18)</f>
        <v>303647.6138191637</v>
      </c>
      <c r="L18" s="48">
        <f>K18*(1+Assumptions!Q18)</f>
        <v>317052.58147328469</v>
      </c>
      <c r="M18" s="48">
        <f>L18*(1+Assumptions!R18)</f>
        <v>331049.33101413923</v>
      </c>
      <c r="N18" s="48">
        <f>M18*(1+Assumptions!S18)</f>
        <v>345663.98751793051</v>
      </c>
      <c r="O18" s="48">
        <f>N18*(1+Assumptions!T18)</f>
        <v>360923.82939052919</v>
      </c>
      <c r="P18" s="48">
        <f>O18*(1+Assumptions!T18)</f>
        <v>376857.33928289701</v>
      </c>
      <c r="Q18" s="48">
        <f>P18*(1+Assumptions!T18)</f>
        <v>393494.25725424621</v>
      </c>
      <c r="R18" s="48">
        <f>Q18*(1+Assumptions!U18)</f>
        <v>410865.63628216414</v>
      </c>
      <c r="S18" s="3"/>
      <c r="T18" s="3"/>
      <c r="U18" s="3"/>
    </row>
    <row r="19" spans="1:21" ht="13.5" customHeight="1">
      <c r="A19" s="3"/>
      <c r="B19" s="3"/>
      <c r="C19" s="38" t="s">
        <v>48</v>
      </c>
      <c r="D19" s="33">
        <v>1473050</v>
      </c>
      <c r="E19" s="33">
        <v>1634712</v>
      </c>
      <c r="F19" s="33">
        <v>2026092</v>
      </c>
      <c r="G19" s="33">
        <v>2353190</v>
      </c>
      <c r="H19" s="33">
        <v>2511660</v>
      </c>
      <c r="I19" s="39">
        <f t="shared" ref="I19:R19" si="1">SUM(I16:I18)</f>
        <v>2334832</v>
      </c>
      <c r="J19" s="45">
        <f t="shared" si="1"/>
        <v>2547107.9197332328</v>
      </c>
      <c r="K19" s="45">
        <f t="shared" si="1"/>
        <v>2779394.1664692634</v>
      </c>
      <c r="L19" s="45">
        <f t="shared" si="1"/>
        <v>3033611.7585885297</v>
      </c>
      <c r="M19" s="45">
        <f t="shared" si="1"/>
        <v>3311867.8337727706</v>
      </c>
      <c r="N19" s="45">
        <f t="shared" si="1"/>
        <v>3616473.7690547109</v>
      </c>
      <c r="O19" s="45">
        <f t="shared" si="1"/>
        <v>3949965.0700583784</v>
      </c>
      <c r="P19" s="45">
        <f t="shared" si="1"/>
        <v>4315123.2025124626</v>
      </c>
      <c r="Q19" s="45">
        <f t="shared" si="1"/>
        <v>4714999.5560791949</v>
      </c>
      <c r="R19" s="45">
        <f t="shared" si="1"/>
        <v>5152941.749165738</v>
      </c>
      <c r="S19" s="3"/>
      <c r="T19" s="3"/>
      <c r="U19" s="3"/>
    </row>
    <row r="20" spans="1:21" ht="13.5" customHeight="1">
      <c r="A20" s="3"/>
      <c r="B20" s="3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3"/>
      <c r="T20" s="3"/>
      <c r="U20" s="3"/>
    </row>
    <row r="21" spans="1:21" ht="13.5" customHeight="1">
      <c r="A21" s="3"/>
      <c r="B21" s="3"/>
      <c r="C21" s="38" t="s">
        <v>49</v>
      </c>
      <c r="D21" s="33">
        <v>1934</v>
      </c>
      <c r="E21" s="33">
        <v>233291</v>
      </c>
      <c r="F21" s="33">
        <v>561666</v>
      </c>
      <c r="G21" s="33">
        <v>782582</v>
      </c>
      <c r="H21" s="33">
        <v>970273</v>
      </c>
      <c r="I21" s="39">
        <f t="shared" ref="I21:R21" si="2">I12-I19</f>
        <v>983238</v>
      </c>
      <c r="J21" s="45">
        <f t="shared" si="2"/>
        <v>1324263.4618447563</v>
      </c>
      <c r="K21" s="45">
        <f t="shared" si="2"/>
        <v>1635265.6528476183</v>
      </c>
      <c r="L21" s="45">
        <f t="shared" si="2"/>
        <v>1979922.9110982665</v>
      </c>
      <c r="M21" s="45">
        <f t="shared" si="2"/>
        <v>2361670.4538833988</v>
      </c>
      <c r="N21" s="45">
        <f t="shared" si="2"/>
        <v>2784345.9285093714</v>
      </c>
      <c r="O21" s="45">
        <f t="shared" si="2"/>
        <v>3252245.3363770377</v>
      </c>
      <c r="P21" s="45">
        <f t="shared" si="2"/>
        <v>3770187.5673949113</v>
      </c>
      <c r="Q21" s="45">
        <f t="shared" si="2"/>
        <v>4343588.9197181398</v>
      </c>
      <c r="R21" s="45">
        <f t="shared" si="2"/>
        <v>4978549.2005044892</v>
      </c>
      <c r="S21" s="3"/>
      <c r="T21" s="3"/>
      <c r="U21" s="3"/>
    </row>
    <row r="22" spans="1:21" ht="13.5" customHeight="1">
      <c r="A22" s="3"/>
      <c r="B22" s="3"/>
      <c r="C22" s="3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3"/>
      <c r="T22" s="3"/>
      <c r="U22" s="3"/>
    </row>
    <row r="23" spans="1:21" ht="13.5" customHeight="1">
      <c r="A23" s="3"/>
      <c r="B23" s="26"/>
      <c r="C23" s="42" t="s">
        <v>50</v>
      </c>
      <c r="D23" s="43"/>
      <c r="E23" s="43"/>
      <c r="F23" s="43"/>
      <c r="G23" s="43"/>
      <c r="H23" s="43"/>
      <c r="I23" s="44"/>
      <c r="J23" s="43"/>
      <c r="K23" s="43"/>
      <c r="L23" s="43"/>
      <c r="M23" s="43"/>
      <c r="N23" s="43"/>
      <c r="O23" s="43"/>
      <c r="P23" s="43"/>
      <c r="Q23" s="43"/>
      <c r="R23" s="43"/>
      <c r="S23" s="3"/>
      <c r="T23" s="3"/>
      <c r="U23" s="3"/>
    </row>
    <row r="24" spans="1:21" ht="13.5" customHeight="1">
      <c r="A24" s="3"/>
      <c r="B24" s="3"/>
      <c r="C24" s="32" t="s">
        <v>51</v>
      </c>
      <c r="D24" s="33">
        <v>127566</v>
      </c>
      <c r="E24" s="33">
        <v>172029</v>
      </c>
      <c r="F24" s="33">
        <v>245539</v>
      </c>
      <c r="G24" s="33">
        <v>253150</v>
      </c>
      <c r="H24" s="33">
        <v>311250</v>
      </c>
      <c r="I24" s="39">
        <f>'2026 Interim'!C141</f>
        <v>398910</v>
      </c>
      <c r="J24" s="45">
        <f>J12*Assumptions!O24</f>
        <v>345173.74569141789</v>
      </c>
      <c r="K24" s="45">
        <f>K12*Assumptions!P24</f>
        <v>393613.66182489268</v>
      </c>
      <c r="L24" s="45">
        <f>L12*Assumptions!Q24</f>
        <v>447009.69514947449</v>
      </c>
      <c r="M24" s="45">
        <f>M12*Assumptions!R24</f>
        <v>505856.00528867828</v>
      </c>
      <c r="N24" s="45">
        <f>N12*Assumptions!S24</f>
        <v>570700.84286334808</v>
      </c>
      <c r="O24" s="45">
        <f>O12*Assumptions!T24</f>
        <v>642153.309051355</v>
      </c>
      <c r="P24" s="45">
        <f>P12*Assumptions!T24</f>
        <v>720891.05602432066</v>
      </c>
      <c r="Q24" s="45">
        <f>Q12*Assumptions!T24</f>
        <v>807669.06780035782</v>
      </c>
      <c r="R24" s="45">
        <f>R12*Assumptions!U24</f>
        <v>903329.68239046296</v>
      </c>
      <c r="S24" s="3"/>
      <c r="T24" s="3"/>
      <c r="U24" s="3"/>
    </row>
    <row r="25" spans="1:21" ht="13.5" customHeight="1">
      <c r="A25" s="3"/>
      <c r="B25" s="3"/>
      <c r="C25" s="32" t="s">
        <v>52</v>
      </c>
      <c r="D25" s="33">
        <v>8016</v>
      </c>
      <c r="E25" s="33">
        <v>10578</v>
      </c>
      <c r="F25" s="33">
        <v>17551</v>
      </c>
      <c r="G25" s="33">
        <v>19419</v>
      </c>
      <c r="H25" s="33">
        <v>27630</v>
      </c>
      <c r="I25" s="39">
        <f>'2026 Interim'!C142</f>
        <v>31782</v>
      </c>
      <c r="J25" s="45">
        <f>J12*Assumptions!O25</f>
        <v>23448.684770566193</v>
      </c>
      <c r="K25" s="45">
        <f>K12*Assumptions!P25</f>
        <v>26739.353130789495</v>
      </c>
      <c r="L25" s="45">
        <f>L12*Assumptions!Q25</f>
        <v>30366.705352838573</v>
      </c>
      <c r="M25" s="45">
        <f>M12*Assumptions!R25</f>
        <v>34364.311177699747</v>
      </c>
      <c r="N25" s="45">
        <f>N12*Assumptions!S25</f>
        <v>38769.414909564497</v>
      </c>
      <c r="O25" s="45">
        <f>O12*Assumptions!T25</f>
        <v>43623.394612933844</v>
      </c>
      <c r="P25" s="45">
        <f>P12*Assumptions!T25</f>
        <v>48972.285226312779</v>
      </c>
      <c r="Q25" s="45">
        <f>Q12*Assumptions!T25</f>
        <v>54867.375071795686</v>
      </c>
      <c r="R25" s="45">
        <f>R12*Assumptions!U25</f>
        <v>61365.886689441497</v>
      </c>
      <c r="S25" s="3"/>
      <c r="T25" s="3"/>
      <c r="U25" s="3"/>
    </row>
    <row r="26" spans="1:21" ht="13.5" customHeight="1">
      <c r="A26" s="3"/>
      <c r="B26" s="3"/>
      <c r="C26" s="32" t="s">
        <v>53</v>
      </c>
      <c r="D26" s="33">
        <v>7168</v>
      </c>
      <c r="E26" s="33">
        <v>12175</v>
      </c>
      <c r="F26" s="33">
        <v>21036</v>
      </c>
      <c r="G26" s="33">
        <v>36540</v>
      </c>
      <c r="H26" s="33">
        <v>38467</v>
      </c>
      <c r="I26" s="39">
        <f>'2026 Interim'!C143</f>
        <v>47220</v>
      </c>
      <c r="J26" s="45">
        <f>J12*Assumptions!O26</f>
        <v>30316.195936325646</v>
      </c>
      <c r="K26" s="45">
        <f>K12*Assumptions!P26</f>
        <v>34570.615650953769</v>
      </c>
      <c r="L26" s="45">
        <f>L12*Assumptions!Q26</f>
        <v>39260.325192008371</v>
      </c>
      <c r="M26" s="45">
        <f>M12*Assumptions!R26</f>
        <v>44428.726006318175</v>
      </c>
      <c r="N26" s="45">
        <f>N12*Assumptions!S26</f>
        <v>50123.970288107645</v>
      </c>
      <c r="O26" s="45">
        <f>O12*Assumptions!T26</f>
        <v>56399.554663014984</v>
      </c>
      <c r="P26" s="45">
        <f>P12*Assumptions!T26</f>
        <v>63314.996508210359</v>
      </c>
      <c r="Q26" s="45">
        <f>Q12*Assumptions!T26</f>
        <v>70936.605164156659</v>
      </c>
      <c r="R26" s="45">
        <f>R12*Assumptions!U26</f>
        <v>79338.362167702318</v>
      </c>
      <c r="S26" s="3"/>
      <c r="T26" s="3"/>
      <c r="U26" s="3"/>
    </row>
    <row r="27" spans="1:21" ht="13.5" customHeight="1">
      <c r="A27" s="3"/>
      <c r="B27" s="3"/>
      <c r="C27" s="32" t="s">
        <v>54</v>
      </c>
      <c r="D27" s="33">
        <v>-8407</v>
      </c>
      <c r="E27" s="33">
        <v>22944</v>
      </c>
      <c r="F27" s="33">
        <v>-7509</v>
      </c>
      <c r="G27" s="33">
        <v>-37683</v>
      </c>
      <c r="H27" s="33">
        <v>-28333</v>
      </c>
      <c r="I27" s="39">
        <f>'2026 Interim'!C144</f>
        <v>7592</v>
      </c>
      <c r="J27" s="45">
        <f>J12*Assumptions!O27</f>
        <v>-7989.9097968728956</v>
      </c>
      <c r="K27" s="45">
        <f>K12*Assumptions!P27</f>
        <v>-9111.1728283334451</v>
      </c>
      <c r="L27" s="45">
        <f>L12*Assumptions!Q27</f>
        <v>-10347.15758991966</v>
      </c>
      <c r="M27" s="45">
        <f>M12*Assumptions!R27</f>
        <v>-11709.302642259125</v>
      </c>
      <c r="N27" s="45">
        <f>N12*Assumptions!S27</f>
        <v>-13210.298617421344</v>
      </c>
      <c r="O27" s="45">
        <f>O12*Assumptions!T27</f>
        <v>-14864.244685836014</v>
      </c>
      <c r="P27" s="45">
        <f>P12*Assumptions!T27</f>
        <v>-16686.82680216364</v>
      </c>
      <c r="Q27" s="45">
        <f>Q12*Assumptions!T27</f>
        <v>-18695.520960097532</v>
      </c>
      <c r="R27" s="45">
        <f>R12*Assumptions!U27</f>
        <v>-20909.825180012504</v>
      </c>
      <c r="S27" s="3"/>
      <c r="T27" s="3"/>
      <c r="U27" s="3"/>
    </row>
    <row r="28" spans="1:21" ht="13.5" customHeight="1">
      <c r="A28" s="3"/>
      <c r="B28" s="3"/>
      <c r="C28" s="32" t="s">
        <v>55</v>
      </c>
      <c r="D28" s="33">
        <v>3803</v>
      </c>
      <c r="E28" s="33">
        <v>514</v>
      </c>
      <c r="F28" s="33">
        <v>2188</v>
      </c>
      <c r="G28" s="33">
        <v>1042</v>
      </c>
      <c r="H28" s="33">
        <v>3117</v>
      </c>
      <c r="I28" s="39">
        <f>'2026 Interim'!C145</f>
        <v>1986</v>
      </c>
      <c r="J28" s="45">
        <f>J12*Assumptions!O28</f>
        <v>3935.4048138953663</v>
      </c>
      <c r="K28" s="45">
        <f>K12*Assumptions!P28</f>
        <v>4487.6793756657353</v>
      </c>
      <c r="L28" s="45">
        <f>L12*Assumptions!Q28</f>
        <v>5096.4597629676573</v>
      </c>
      <c r="M28" s="45">
        <f>M12*Assumptions!R28</f>
        <v>5767.3800026803156</v>
      </c>
      <c r="N28" s="45">
        <f>N12*Assumptions!S28</f>
        <v>6506.6908255137441</v>
      </c>
      <c r="O28" s="45">
        <f>O12*Assumptions!T28</f>
        <v>7321.3367332948173</v>
      </c>
      <c r="P28" s="45">
        <f>P12*Assumptions!T28</f>
        <v>8219.0437934073816</v>
      </c>
      <c r="Q28" s="45">
        <f>Q12*Assumptions!T28</f>
        <v>9208.4197513024774</v>
      </c>
      <c r="R28" s="45">
        <f>R12*Assumptions!U28</f>
        <v>10299.068295281382</v>
      </c>
      <c r="S28" s="3"/>
      <c r="T28" s="3"/>
      <c r="U28" s="3"/>
    </row>
    <row r="29" spans="1:21" ht="13.5" customHeight="1">
      <c r="A29" s="3"/>
      <c r="B29" s="3"/>
      <c r="C29" s="49"/>
      <c r="D29" s="50"/>
      <c r="E29" s="50"/>
      <c r="F29" s="50"/>
      <c r="G29" s="50"/>
      <c r="H29" s="50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3"/>
      <c r="T29" s="3"/>
      <c r="U29" s="3"/>
    </row>
    <row r="30" spans="1:21" ht="13.5" customHeight="1">
      <c r="A30" s="3"/>
      <c r="B30" s="3"/>
      <c r="C30" s="38" t="s">
        <v>56</v>
      </c>
      <c r="D30" s="33">
        <v>-136212</v>
      </c>
      <c r="E30" s="33">
        <v>15051</v>
      </c>
      <c r="F30" s="33">
        <v>282861</v>
      </c>
      <c r="G30" s="33">
        <v>510114</v>
      </c>
      <c r="H30" s="33">
        <v>618142</v>
      </c>
      <c r="I30" s="39">
        <f t="shared" ref="I30:R30" si="3">I21-I24-I25-I26-I27-I28</f>
        <v>495748</v>
      </c>
      <c r="J30" s="45">
        <f t="shared" si="3"/>
        <v>929379.34042942396</v>
      </c>
      <c r="K30" s="45">
        <f t="shared" si="3"/>
        <v>1184965.5156936501</v>
      </c>
      <c r="L30" s="45">
        <f t="shared" si="3"/>
        <v>1468536.8832308969</v>
      </c>
      <c r="M30" s="45">
        <f t="shared" si="3"/>
        <v>1782963.3340502814</v>
      </c>
      <c r="N30" s="45">
        <f t="shared" si="3"/>
        <v>2131455.3082402586</v>
      </c>
      <c r="O30" s="45">
        <f t="shared" si="3"/>
        <v>2517611.9860022753</v>
      </c>
      <c r="P30" s="45">
        <f t="shared" si="3"/>
        <v>2945477.0126448241</v>
      </c>
      <c r="Q30" s="45">
        <f t="shared" si="3"/>
        <v>3419602.9728906248</v>
      </c>
      <c r="R30" s="45">
        <f t="shared" si="3"/>
        <v>3945126.0261416137</v>
      </c>
      <c r="S30" s="3"/>
      <c r="T30" s="3"/>
      <c r="U30" s="3"/>
    </row>
    <row r="31" spans="1:21" ht="13.5" customHeight="1">
      <c r="A31" s="3"/>
      <c r="B31" s="3"/>
      <c r="C31" s="3"/>
      <c r="D31" s="40"/>
      <c r="E31" s="40"/>
      <c r="F31" s="40"/>
      <c r="G31" s="40"/>
      <c r="H31" s="40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3"/>
      <c r="T31" s="3"/>
      <c r="U31" s="3"/>
    </row>
    <row r="32" spans="1:21" ht="13.5" customHeight="1">
      <c r="A32" s="3"/>
      <c r="B32" s="26"/>
      <c r="C32" s="42" t="s">
        <v>57</v>
      </c>
      <c r="D32" s="43"/>
      <c r="E32" s="43"/>
      <c r="F32" s="43"/>
      <c r="G32" s="43"/>
      <c r="H32" s="43"/>
      <c r="I32" s="44"/>
      <c r="J32" s="43"/>
      <c r="K32" s="43"/>
      <c r="L32" s="43"/>
      <c r="M32" s="43"/>
      <c r="N32" s="43"/>
      <c r="O32" s="43"/>
      <c r="P32" s="43"/>
      <c r="Q32" s="43"/>
      <c r="R32" s="43"/>
      <c r="S32" s="3"/>
      <c r="T32" s="3"/>
      <c r="U32" s="3"/>
    </row>
    <row r="33" spans="1:21" ht="13.5" customHeight="1">
      <c r="A33" s="3"/>
      <c r="B33" s="3"/>
      <c r="C33" s="32" t="s">
        <v>58</v>
      </c>
      <c r="D33" s="33">
        <v>-76612</v>
      </c>
      <c r="E33" s="33">
        <v>-85728</v>
      </c>
      <c r="F33" s="33">
        <v>-115869</v>
      </c>
      <c r="G33" s="33">
        <v>-147171</v>
      </c>
      <c r="H33" s="33">
        <v>-115175</v>
      </c>
      <c r="I33" s="39">
        <f>'2026 Interim'!C150</f>
        <v>-115002</v>
      </c>
      <c r="J33" s="45">
        <f>I33*(1+Assumptions!O33)</f>
        <v>-108101.87999999999</v>
      </c>
      <c r="K33" s="45">
        <f>J33*(1+Assumptions!P33)</f>
        <v>-101615.76719999999</v>
      </c>
      <c r="L33" s="45">
        <f>K33*(1+Assumptions!Q33)</f>
        <v>-95518.82116799998</v>
      </c>
      <c r="M33" s="45">
        <f>L33*(1+Assumptions!R33)</f>
        <v>-89787.691897919984</v>
      </c>
      <c r="N33" s="45">
        <f>M33*(1+Assumptions!S33)</f>
        <v>-84400.430384044783</v>
      </c>
      <c r="O33" s="45">
        <f>N33*(1+Assumptions!T33)</f>
        <v>-79336.404561002098</v>
      </c>
      <c r="P33" s="45">
        <f>O33*(1+Assumptions!T33)</f>
        <v>-74576.220287341974</v>
      </c>
      <c r="Q33" s="45">
        <f>P33*(1+Assumptions!T33)</f>
        <v>-70101.647070101448</v>
      </c>
      <c r="R33" s="45">
        <f>Q33*(1+Assumptions!U33)</f>
        <v>-65895.548245895363</v>
      </c>
      <c r="S33" s="3"/>
      <c r="T33" s="3"/>
      <c r="U33" s="3"/>
    </row>
    <row r="34" spans="1:21" ht="13.5" customHeight="1">
      <c r="A34" s="3"/>
      <c r="B34" s="3"/>
      <c r="C34" s="32" t="s">
        <v>59</v>
      </c>
      <c r="D34" s="33">
        <v>12529</v>
      </c>
      <c r="E34" s="33">
        <v>-72949</v>
      </c>
      <c r="F34" s="33">
        <v>37791</v>
      </c>
      <c r="G34" s="33">
        <v>-183103</v>
      </c>
      <c r="H34" s="33">
        <v>95017</v>
      </c>
      <c r="I34" s="39">
        <f>'2026 Interim'!C151</f>
        <v>-204082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3"/>
      <c r="T34" s="3"/>
      <c r="U34" s="3"/>
    </row>
    <row r="35" spans="1:21" ht="13.5" customHeight="1">
      <c r="A35" s="3"/>
      <c r="B35" s="3"/>
      <c r="C35" s="32" t="s">
        <v>60</v>
      </c>
      <c r="D35" s="33">
        <v>6804</v>
      </c>
      <c r="E35" s="33">
        <v>37499</v>
      </c>
      <c r="F35" s="33">
        <v>111670</v>
      </c>
      <c r="G35" s="33">
        <v>21228</v>
      </c>
      <c r="H35" s="33">
        <v>23172</v>
      </c>
      <c r="I35" s="39">
        <f>'2026 Interim'!C152</f>
        <v>35698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3"/>
      <c r="T35" s="3"/>
      <c r="U35" s="3"/>
    </row>
    <row r="36" spans="1:21" ht="13.5" customHeight="1">
      <c r="A36" s="3"/>
      <c r="B36" s="3"/>
      <c r="C36" s="32" t="s">
        <v>61</v>
      </c>
      <c r="D36" s="33">
        <v>68283</v>
      </c>
      <c r="E36" s="33">
        <v>93988</v>
      </c>
      <c r="F36" s="33">
        <v>154462</v>
      </c>
      <c r="G36" s="33">
        <v>-10844</v>
      </c>
      <c r="H36" s="33">
        <v>216386</v>
      </c>
      <c r="I36" s="39">
        <f>'2026 Interim'!C153</f>
        <v>148952</v>
      </c>
      <c r="J36" s="31">
        <f>Westinghouse!G8</f>
        <v>163847.20000000001</v>
      </c>
      <c r="K36" s="31">
        <f>Westinghouse!H8</f>
        <v>180231.92</v>
      </c>
      <c r="L36" s="31">
        <f>Westinghouse!I8</f>
        <v>224028.27656</v>
      </c>
      <c r="M36" s="31">
        <f>Westinghouse!J8</f>
        <v>253151.9525128</v>
      </c>
      <c r="N36" s="31">
        <f>Westinghouse!K8</f>
        <v>286061.70633946394</v>
      </c>
      <c r="O36" s="31">
        <f>Westinghouse!L8</f>
        <v>361998.08656775794</v>
      </c>
      <c r="P36" s="31">
        <f>Westinghouse!M8</f>
        <v>419917.7804185992</v>
      </c>
      <c r="Q36" s="31">
        <f>Westinghouse!N8</f>
        <v>487104.62528557499</v>
      </c>
      <c r="R36" s="31">
        <f>Westinghouse!O8</f>
        <v>565041.36533126701</v>
      </c>
      <c r="S36" s="3"/>
      <c r="T36" s="3"/>
      <c r="U36" s="3"/>
    </row>
    <row r="37" spans="1:21" ht="13.5" customHeight="1">
      <c r="A37" s="3"/>
      <c r="B37" s="3"/>
      <c r="C37" s="32" t="s">
        <v>62</v>
      </c>
      <c r="D37" s="33">
        <v>0</v>
      </c>
      <c r="E37" s="33">
        <v>0</v>
      </c>
      <c r="F37" s="33">
        <v>0</v>
      </c>
      <c r="G37" s="33">
        <v>65517</v>
      </c>
      <c r="H37" s="33">
        <v>-61740</v>
      </c>
      <c r="I37" s="39">
        <f>'2026 Interim'!C154</f>
        <v>54620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3"/>
      <c r="T37" s="3"/>
      <c r="U37" s="3"/>
    </row>
    <row r="38" spans="1:21" ht="13.5" customHeight="1">
      <c r="A38" s="3"/>
      <c r="B38" s="3"/>
      <c r="C38" s="32" t="s">
        <v>63</v>
      </c>
      <c r="D38" s="33">
        <v>21353</v>
      </c>
      <c r="E38" s="33">
        <v>96934</v>
      </c>
      <c r="F38" s="33">
        <v>16238</v>
      </c>
      <c r="G38" s="33">
        <v>975</v>
      </c>
      <c r="H38" s="33">
        <v>1459</v>
      </c>
      <c r="I38" s="39">
        <f>'2026 Interim'!C155</f>
        <v>1520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3"/>
      <c r="T38" s="3"/>
      <c r="U38" s="3"/>
    </row>
    <row r="39" spans="1:21" ht="13.5" customHeight="1">
      <c r="A39" s="3"/>
      <c r="B39" s="3"/>
      <c r="C39" s="49"/>
      <c r="D39" s="50"/>
      <c r="E39" s="50"/>
      <c r="F39" s="50"/>
      <c r="G39" s="50"/>
      <c r="H39" s="50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3"/>
      <c r="T39" s="3"/>
      <c r="U39" s="3"/>
    </row>
    <row r="40" spans="1:21" ht="13.5" customHeight="1">
      <c r="A40" s="3"/>
      <c r="B40" s="3"/>
      <c r="C40" s="38" t="s">
        <v>64</v>
      </c>
      <c r="D40" s="33">
        <v>-103855</v>
      </c>
      <c r="E40" s="33">
        <v>84795</v>
      </c>
      <c r="F40" s="33">
        <v>487153</v>
      </c>
      <c r="G40" s="33">
        <v>256716</v>
      </c>
      <c r="H40" s="33">
        <v>777261</v>
      </c>
      <c r="I40" s="39">
        <f t="shared" ref="I40:R40" si="4">I30+I33+I34+I35+I36+I37+I38</f>
        <v>417454</v>
      </c>
      <c r="J40" s="45">
        <f t="shared" si="4"/>
        <v>985124.66042942391</v>
      </c>
      <c r="K40" s="45">
        <f t="shared" si="4"/>
        <v>1263581.6684936502</v>
      </c>
      <c r="L40" s="45">
        <f t="shared" si="4"/>
        <v>1597046.3386228969</v>
      </c>
      <c r="M40" s="45">
        <f t="shared" si="4"/>
        <v>1946327.5946651616</v>
      </c>
      <c r="N40" s="45">
        <f t="shared" si="4"/>
        <v>2333116.5841956777</v>
      </c>
      <c r="O40" s="45">
        <f t="shared" si="4"/>
        <v>2800273.6680090311</v>
      </c>
      <c r="P40" s="45">
        <f t="shared" si="4"/>
        <v>3290818.572776081</v>
      </c>
      <c r="Q40" s="45">
        <f t="shared" si="4"/>
        <v>3836605.9511060985</v>
      </c>
      <c r="R40" s="45">
        <f t="shared" si="4"/>
        <v>4444271.843226986</v>
      </c>
      <c r="S40" s="3"/>
      <c r="T40" s="3"/>
      <c r="U40" s="3"/>
    </row>
    <row r="41" spans="1:21" ht="13.5" customHeight="1">
      <c r="A41" s="3"/>
      <c r="B41" s="3"/>
      <c r="C41" s="3"/>
      <c r="D41" s="40"/>
      <c r="E41" s="40"/>
      <c r="F41" s="40"/>
      <c r="G41" s="40"/>
      <c r="H41" s="40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3"/>
      <c r="T41" s="3"/>
      <c r="U41" s="3"/>
    </row>
    <row r="42" spans="1:21" ht="13.5" customHeight="1">
      <c r="A42" s="3"/>
      <c r="B42" s="3"/>
      <c r="C42" s="32" t="s">
        <v>65</v>
      </c>
      <c r="D42" s="33">
        <v>-1201</v>
      </c>
      <c r="E42" s="33">
        <v>-4469</v>
      </c>
      <c r="F42" s="33">
        <v>126337</v>
      </c>
      <c r="G42" s="33">
        <v>84874</v>
      </c>
      <c r="H42" s="33">
        <v>187719</v>
      </c>
      <c r="I42" s="39">
        <f>I40*Assumptions!N42</f>
        <v>123138.86747463593</v>
      </c>
      <c r="J42" s="45">
        <f>J40*Assumptions!O42</f>
        <v>290588.02887650987</v>
      </c>
      <c r="K42" s="45">
        <f>K40*Assumptions!P42</f>
        <v>372726.13418488967</v>
      </c>
      <c r="L42" s="45">
        <f>L40*Assumptions!Q42</f>
        <v>471090.17386954598</v>
      </c>
      <c r="M42" s="45">
        <f>M40*Assumptions!R42</f>
        <v>574119.72514744196</v>
      </c>
      <c r="N42" s="45">
        <f>N40*Assumptions!S42</f>
        <v>688213.1536987233</v>
      </c>
      <c r="O42" s="45">
        <f>O40*Assumptions!T42</f>
        <v>826013.23282966926</v>
      </c>
      <c r="P42" s="45">
        <f>P40*Assumptions!T42</f>
        <v>970712.15538992174</v>
      </c>
      <c r="Q42" s="45">
        <f>Q40*Assumptions!T42</f>
        <v>1131706.2760583283</v>
      </c>
      <c r="R42" s="45">
        <f>R40*Assumptions!U42</f>
        <v>1310953.0667436023</v>
      </c>
      <c r="S42" s="3"/>
      <c r="T42" s="3"/>
      <c r="U42" s="3"/>
    </row>
    <row r="43" spans="1:21" ht="13.5" customHeight="1">
      <c r="A43" s="3"/>
      <c r="B43" s="3"/>
      <c r="C43" s="49"/>
      <c r="D43" s="50"/>
      <c r="E43" s="50"/>
      <c r="F43" s="50"/>
      <c r="G43" s="50"/>
      <c r="H43" s="50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3"/>
      <c r="T43" s="3"/>
      <c r="U43" s="3"/>
    </row>
    <row r="44" spans="1:21" ht="13.5" customHeight="1">
      <c r="A44" s="3"/>
      <c r="B44" s="3"/>
      <c r="C44" s="38" t="s">
        <v>66</v>
      </c>
      <c r="D44" s="33">
        <v>-102654</v>
      </c>
      <c r="E44" s="33">
        <v>89264</v>
      </c>
      <c r="F44" s="33">
        <v>360816</v>
      </c>
      <c r="G44" s="33">
        <v>171842</v>
      </c>
      <c r="H44" s="33">
        <v>589542</v>
      </c>
      <c r="I44" s="39">
        <f t="shared" ref="I44:R44" si="5">I40-I42</f>
        <v>294315.13252536405</v>
      </c>
      <c r="J44" s="45">
        <f t="shared" si="5"/>
        <v>694536.63155291404</v>
      </c>
      <c r="K44" s="45">
        <f t="shared" si="5"/>
        <v>890855.53430876043</v>
      </c>
      <c r="L44" s="45">
        <f t="shared" si="5"/>
        <v>1125956.1647533509</v>
      </c>
      <c r="M44" s="45">
        <f t="shared" si="5"/>
        <v>1372207.8695177196</v>
      </c>
      <c r="N44" s="45">
        <f t="shared" si="5"/>
        <v>1644903.4304969544</v>
      </c>
      <c r="O44" s="45">
        <f t="shared" si="5"/>
        <v>1974260.4351793618</v>
      </c>
      <c r="P44" s="45">
        <f t="shared" si="5"/>
        <v>2320106.4173861593</v>
      </c>
      <c r="Q44" s="45">
        <f t="shared" si="5"/>
        <v>2704899.6750477701</v>
      </c>
      <c r="R44" s="45">
        <f t="shared" si="5"/>
        <v>3133318.776483384</v>
      </c>
      <c r="S44" s="3"/>
      <c r="T44" s="3"/>
      <c r="U44" s="3"/>
    </row>
    <row r="45" spans="1:21" ht="13.5" customHeight="1">
      <c r="A45" s="3"/>
      <c r="B45" s="3"/>
      <c r="C45" s="38"/>
      <c r="D45" s="33"/>
      <c r="E45" s="33"/>
      <c r="F45" s="33"/>
      <c r="G45" s="33"/>
      <c r="H45" s="33"/>
      <c r="I45" s="45"/>
      <c r="J45" s="45"/>
      <c r="K45" s="45"/>
      <c r="L45" s="45"/>
      <c r="M45" s="45"/>
      <c r="N45" s="45"/>
      <c r="O45" s="45"/>
      <c r="P45" s="45"/>
      <c r="Q45" s="45"/>
      <c r="R45" s="3"/>
      <c r="S45" s="3"/>
      <c r="T45" s="3"/>
      <c r="U45" s="3"/>
    </row>
    <row r="46" spans="1:21" ht="13.5" customHeight="1">
      <c r="A46" s="3"/>
      <c r="B46" s="3"/>
      <c r="C46" s="38"/>
      <c r="D46" s="33"/>
      <c r="E46" s="33"/>
      <c r="F46" s="33"/>
      <c r="G46" s="33"/>
      <c r="H46" s="33"/>
      <c r="I46" s="45"/>
      <c r="J46" s="45"/>
      <c r="K46" s="45"/>
      <c r="L46" s="45"/>
      <c r="M46" s="45"/>
      <c r="N46" s="45"/>
      <c r="O46" s="45"/>
      <c r="P46" s="45"/>
      <c r="Q46" s="45"/>
      <c r="R46" s="3"/>
      <c r="S46" s="3"/>
      <c r="T46" s="3"/>
      <c r="U46" s="3"/>
    </row>
    <row r="47" spans="1:21" ht="13.5" customHeight="1">
      <c r="A47" s="3"/>
      <c r="B47" s="3"/>
      <c r="C47" s="38"/>
      <c r="D47" s="33"/>
      <c r="E47" s="33"/>
      <c r="F47" s="33"/>
      <c r="G47" s="33"/>
      <c r="H47" s="33"/>
      <c r="I47" s="45"/>
      <c r="J47" s="45"/>
      <c r="K47" s="45"/>
      <c r="L47" s="45"/>
      <c r="M47" s="45"/>
      <c r="N47" s="45"/>
      <c r="O47" s="45"/>
      <c r="P47" s="45"/>
      <c r="Q47" s="45"/>
      <c r="R47" s="3"/>
      <c r="S47" s="3"/>
      <c r="T47" s="3"/>
      <c r="U47" s="3"/>
    </row>
    <row r="48" spans="1:21" ht="13.5" customHeight="1">
      <c r="A48" s="3"/>
      <c r="B48" s="3"/>
      <c r="C48" s="38"/>
      <c r="D48" s="33"/>
      <c r="E48" s="33"/>
      <c r="F48" s="33"/>
      <c r="G48" s="33"/>
      <c r="H48" s="33"/>
      <c r="I48" s="45"/>
      <c r="J48" s="45"/>
      <c r="K48" s="45"/>
      <c r="L48" s="45"/>
      <c r="M48" s="45"/>
      <c r="N48" s="45"/>
      <c r="O48" s="45"/>
      <c r="P48" s="45"/>
      <c r="Q48" s="45"/>
      <c r="R48" s="3"/>
      <c r="S48" s="3"/>
      <c r="T48" s="3"/>
      <c r="U48" s="3"/>
    </row>
    <row r="49" spans="1:21" ht="13.5" customHeight="1">
      <c r="A49" s="3"/>
      <c r="B49" s="3"/>
      <c r="C49" s="38"/>
      <c r="D49" s="33"/>
      <c r="E49" s="33"/>
      <c r="F49" s="33"/>
      <c r="G49" s="33"/>
      <c r="H49" s="33"/>
      <c r="I49" s="45"/>
      <c r="J49" s="45"/>
      <c r="K49" s="45"/>
      <c r="L49" s="45"/>
      <c r="M49" s="45"/>
      <c r="N49" s="45"/>
      <c r="O49" s="45"/>
      <c r="P49" s="45"/>
      <c r="Q49" s="45"/>
      <c r="R49" s="3"/>
      <c r="S49" s="3"/>
      <c r="T49" s="3"/>
      <c r="U49" s="3"/>
    </row>
    <row r="50" spans="1:21" ht="13.5" customHeight="1">
      <c r="A50" s="3"/>
      <c r="B50" s="3"/>
      <c r="C50" s="38"/>
      <c r="D50" s="33"/>
      <c r="E50" s="33"/>
      <c r="F50" s="33"/>
      <c r="G50" s="33"/>
      <c r="H50" s="33"/>
      <c r="I50" s="45"/>
      <c r="J50" s="45"/>
      <c r="K50" s="45"/>
      <c r="L50" s="45"/>
      <c r="M50" s="45"/>
      <c r="N50" s="45"/>
      <c r="O50" s="45"/>
      <c r="P50" s="45"/>
      <c r="Q50" s="45"/>
      <c r="R50" s="3"/>
      <c r="S50" s="3"/>
      <c r="T50" s="3"/>
      <c r="U50" s="3"/>
    </row>
    <row r="51" spans="1:21" ht="13.5" customHeight="1">
      <c r="A51" s="3"/>
      <c r="B51" s="3"/>
      <c r="C51" s="38"/>
      <c r="D51" s="33"/>
      <c r="E51" s="33"/>
      <c r="F51" s="33"/>
      <c r="G51" s="33"/>
      <c r="H51" s="33"/>
      <c r="I51" s="45"/>
      <c r="J51" s="45"/>
      <c r="K51" s="45"/>
      <c r="L51" s="45"/>
      <c r="M51" s="45"/>
      <c r="N51" s="45"/>
      <c r="O51" s="45"/>
      <c r="P51" s="45"/>
      <c r="Q51" s="45"/>
      <c r="R51" s="3"/>
      <c r="S51" s="3"/>
      <c r="T51" s="3"/>
      <c r="U51" s="3"/>
    </row>
    <row r="52" spans="1:21" ht="13.5" customHeight="1">
      <c r="A52" s="3"/>
      <c r="B52" s="3"/>
      <c r="C52" s="38"/>
      <c r="D52" s="33"/>
      <c r="E52" s="33"/>
      <c r="F52" s="33"/>
      <c r="G52" s="33"/>
      <c r="H52" s="33"/>
      <c r="I52" s="45"/>
      <c r="J52" s="45"/>
      <c r="K52" s="45"/>
      <c r="L52" s="45"/>
      <c r="M52" s="45"/>
      <c r="N52" s="45"/>
      <c r="O52" s="45"/>
      <c r="P52" s="45"/>
      <c r="Q52" s="45"/>
      <c r="R52" s="3"/>
      <c r="S52" s="3"/>
      <c r="T52" s="3"/>
      <c r="U52" s="3"/>
    </row>
    <row r="53" spans="1:21" ht="13.5" customHeight="1">
      <c r="A53" s="3"/>
      <c r="B53" s="3"/>
      <c r="C53" s="3"/>
      <c r="D53" s="21"/>
      <c r="E53" s="21"/>
      <c r="F53" s="21"/>
      <c r="G53" s="21"/>
      <c r="H53" s="2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3.5" customHeight="1">
      <c r="A54" s="3"/>
      <c r="B54" s="26"/>
      <c r="C54" s="42" t="s">
        <v>67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3"/>
      <c r="T54" s="3"/>
      <c r="U54" s="3"/>
    </row>
    <row r="55" spans="1:21" ht="13.5" customHeight="1">
      <c r="A55" s="3"/>
      <c r="B55" s="3"/>
      <c r="C55" s="32" t="s">
        <v>68</v>
      </c>
      <c r="D55" s="33">
        <v>-102577</v>
      </c>
      <c r="E55" s="33">
        <v>89382</v>
      </c>
      <c r="F55" s="33">
        <v>360847</v>
      </c>
      <c r="G55" s="33">
        <v>171853</v>
      </c>
      <c r="H55" s="33">
        <v>589577</v>
      </c>
      <c r="I55" s="45">
        <f t="shared" ref="I55:R55" si="6">I44-I56</f>
        <v>294350.13252536405</v>
      </c>
      <c r="J55" s="45">
        <f t="shared" si="6"/>
        <v>694571.63155291404</v>
      </c>
      <c r="K55" s="45">
        <f t="shared" si="6"/>
        <v>890890.53430876043</v>
      </c>
      <c r="L55" s="45">
        <f t="shared" si="6"/>
        <v>1125991.1647533509</v>
      </c>
      <c r="M55" s="45">
        <f t="shared" si="6"/>
        <v>1372242.8695177196</v>
      </c>
      <c r="N55" s="45">
        <f t="shared" si="6"/>
        <v>1644938.4304969544</v>
      </c>
      <c r="O55" s="45">
        <f t="shared" si="6"/>
        <v>1974295.4351793618</v>
      </c>
      <c r="P55" s="45">
        <f t="shared" si="6"/>
        <v>2320141.4173861593</v>
      </c>
      <c r="Q55" s="45">
        <f t="shared" si="6"/>
        <v>2704934.6750477701</v>
      </c>
      <c r="R55" s="45">
        <f t="shared" si="6"/>
        <v>3133352.776483384</v>
      </c>
      <c r="S55" s="3"/>
      <c r="T55" s="3"/>
      <c r="U55" s="3"/>
    </row>
    <row r="56" spans="1:21" ht="13.5" customHeight="1">
      <c r="A56" s="3"/>
      <c r="B56" s="3"/>
      <c r="C56" s="32" t="s">
        <v>69</v>
      </c>
      <c r="D56" s="33">
        <v>-77</v>
      </c>
      <c r="E56" s="33">
        <v>-118</v>
      </c>
      <c r="F56" s="33">
        <v>-31</v>
      </c>
      <c r="G56" s="33">
        <v>-11</v>
      </c>
      <c r="H56" s="33">
        <v>-35</v>
      </c>
      <c r="I56" s="45">
        <v>-35</v>
      </c>
      <c r="J56" s="45">
        <v>-35</v>
      </c>
      <c r="K56" s="45">
        <v>-35</v>
      </c>
      <c r="L56" s="45">
        <v>-35</v>
      </c>
      <c r="M56" s="45">
        <v>-35</v>
      </c>
      <c r="N56" s="45">
        <v>-35</v>
      </c>
      <c r="O56" s="45">
        <v>-35</v>
      </c>
      <c r="P56" s="45">
        <v>-35</v>
      </c>
      <c r="Q56" s="45">
        <v>-35</v>
      </c>
      <c r="R56" s="45">
        <v>-34</v>
      </c>
      <c r="S56" s="3"/>
      <c r="T56" s="3"/>
      <c r="U56" s="3"/>
    </row>
    <row r="57" spans="1:21" ht="13.5" customHeight="1">
      <c r="A57" s="3"/>
      <c r="B57" s="3"/>
      <c r="C57" s="3"/>
      <c r="D57" s="21"/>
      <c r="E57" s="21"/>
      <c r="F57" s="21"/>
      <c r="G57" s="21"/>
      <c r="H57" s="2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3.5" customHeight="1">
      <c r="A58" s="3"/>
      <c r="B58" s="26"/>
      <c r="C58" s="42" t="s">
        <v>70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3"/>
      <c r="T58" s="3"/>
      <c r="U58" s="3"/>
    </row>
    <row r="59" spans="1:21" ht="15" customHeight="1">
      <c r="A59" s="3"/>
      <c r="B59" s="3"/>
      <c r="C59" s="32" t="s">
        <v>71</v>
      </c>
      <c r="D59" s="53">
        <v>-0.26</v>
      </c>
      <c r="E59" s="53">
        <v>0.22</v>
      </c>
      <c r="F59" s="53">
        <v>0.83</v>
      </c>
      <c r="G59" s="53">
        <v>0.4</v>
      </c>
      <c r="H59" s="53">
        <v>1.35</v>
      </c>
      <c r="I59" s="54">
        <f t="shared" ref="I59:R59" si="7">I55/436720</f>
        <v>0.67400195210973635</v>
      </c>
      <c r="J59" s="54">
        <f t="shared" si="7"/>
        <v>1.5904278062669766</v>
      </c>
      <c r="K59" s="54">
        <f t="shared" si="7"/>
        <v>2.0399581752810962</v>
      </c>
      <c r="L59" s="54">
        <f t="shared" si="7"/>
        <v>2.5782908150607962</v>
      </c>
      <c r="M59" s="54">
        <f t="shared" si="7"/>
        <v>3.1421571476408672</v>
      </c>
      <c r="N59" s="54">
        <f t="shared" si="7"/>
        <v>3.7665745340194046</v>
      </c>
      <c r="O59" s="54">
        <f t="shared" si="7"/>
        <v>4.5207351052833893</v>
      </c>
      <c r="P59" s="54">
        <f t="shared" si="7"/>
        <v>5.3126520823093957</v>
      </c>
      <c r="Q59" s="54">
        <f t="shared" si="7"/>
        <v>6.1937504008238005</v>
      </c>
      <c r="R59" s="54">
        <f t="shared" si="7"/>
        <v>7.1747407411691331</v>
      </c>
      <c r="S59" s="3"/>
      <c r="T59" s="3"/>
      <c r="U59" s="3"/>
    </row>
    <row r="60" spans="1:21" ht="15" customHeight="1">
      <c r="A60" s="3"/>
      <c r="B60" s="3"/>
      <c r="C60" s="32" t="s">
        <v>72</v>
      </c>
      <c r="D60" s="53">
        <v>-0.26</v>
      </c>
      <c r="E60" s="53">
        <v>0.22</v>
      </c>
      <c r="F60" s="53">
        <v>0.83</v>
      </c>
      <c r="G60" s="53">
        <v>0.39</v>
      </c>
      <c r="H60" s="53">
        <v>1.35</v>
      </c>
      <c r="I60" s="54">
        <f t="shared" ref="I60:R60" si="8">I55/436720</f>
        <v>0.67400195210973635</v>
      </c>
      <c r="J60" s="54">
        <f t="shared" si="8"/>
        <v>1.5904278062669766</v>
      </c>
      <c r="K60" s="54">
        <f t="shared" si="8"/>
        <v>2.0399581752810962</v>
      </c>
      <c r="L60" s="54">
        <f t="shared" si="8"/>
        <v>2.5782908150607962</v>
      </c>
      <c r="M60" s="54">
        <f t="shared" si="8"/>
        <v>3.1421571476408672</v>
      </c>
      <c r="N60" s="54">
        <f t="shared" si="8"/>
        <v>3.7665745340194046</v>
      </c>
      <c r="O60" s="54">
        <f t="shared" si="8"/>
        <v>4.5207351052833893</v>
      </c>
      <c r="P60" s="54">
        <f t="shared" si="8"/>
        <v>5.3126520823093957</v>
      </c>
      <c r="Q60" s="54">
        <f t="shared" si="8"/>
        <v>6.1937504008238005</v>
      </c>
      <c r="R60" s="54">
        <f t="shared" si="8"/>
        <v>7.1747407411691331</v>
      </c>
      <c r="S60" s="3"/>
      <c r="T60" s="3"/>
      <c r="U60" s="3"/>
    </row>
    <row r="61" spans="1:21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T66"/>
  <sheetViews>
    <sheetView showGridLines="0" topLeftCell="C31" zoomScaleNormal="113" workbookViewId="0">
      <selection activeCell="H38" sqref="H38"/>
    </sheetView>
  </sheetViews>
  <sheetFormatPr baseColWidth="10" defaultColWidth="8.6640625" defaultRowHeight="15"/>
  <cols>
    <col min="1" max="2" width="3.33203125" customWidth="1"/>
    <col min="3" max="3" width="54" customWidth="1"/>
    <col min="4" max="18" width="13.83203125" customWidth="1"/>
  </cols>
  <sheetData>
    <row r="1" spans="1:20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8" customHeight="1">
      <c r="A2" s="3"/>
      <c r="B2" s="3"/>
      <c r="C2" s="18" t="s">
        <v>73</v>
      </c>
      <c r="D2" s="19"/>
      <c r="E2" s="19"/>
      <c r="F2" s="19"/>
      <c r="G2" s="19"/>
      <c r="H2" s="1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3.5" customHeight="1">
      <c r="A3" s="3"/>
      <c r="B3" s="3"/>
      <c r="C3" s="20" t="s">
        <v>74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8" customHeight="1">
      <c r="A5" s="3"/>
      <c r="B5" s="3"/>
      <c r="C5" s="19"/>
      <c r="D5" s="55" t="s">
        <v>23</v>
      </c>
      <c r="E5" s="55" t="s">
        <v>24</v>
      </c>
      <c r="F5" s="55" t="s">
        <v>25</v>
      </c>
      <c r="G5" s="55" t="s">
        <v>26</v>
      </c>
      <c r="H5" s="55" t="s">
        <v>27</v>
      </c>
      <c r="I5" s="55" t="s">
        <v>75</v>
      </c>
      <c r="J5" s="55" t="s">
        <v>29</v>
      </c>
      <c r="K5" s="55" t="s">
        <v>30</v>
      </c>
      <c r="L5" s="55" t="s">
        <v>31</v>
      </c>
      <c r="M5" s="55" t="s">
        <v>32</v>
      </c>
      <c r="N5" s="55" t="s">
        <v>33</v>
      </c>
      <c r="O5" s="55" t="s">
        <v>34</v>
      </c>
      <c r="P5" s="55" t="s">
        <v>35</v>
      </c>
      <c r="Q5" s="55" t="s">
        <v>36</v>
      </c>
      <c r="R5" s="55" t="s">
        <v>37</v>
      </c>
      <c r="S5" s="3"/>
      <c r="T5" s="3"/>
    </row>
    <row r="6" spans="1:20" ht="4.5" customHeight="1">
      <c r="A6" s="3"/>
      <c r="B6" s="3"/>
      <c r="C6" s="19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3"/>
      <c r="T6" s="3"/>
    </row>
    <row r="7" spans="1:20" ht="18" customHeight="1">
      <c r="A7" s="3"/>
      <c r="B7" s="26"/>
      <c r="C7" s="56" t="s">
        <v>76</v>
      </c>
      <c r="D7" s="57"/>
      <c r="E7" s="57"/>
      <c r="F7" s="57"/>
      <c r="G7" s="57"/>
      <c r="H7" s="57"/>
      <c r="I7" s="26"/>
      <c r="J7" s="26"/>
      <c r="K7" s="26"/>
      <c r="L7" s="26"/>
      <c r="M7" s="26"/>
      <c r="N7" s="26"/>
      <c r="O7" s="26"/>
      <c r="P7" s="26"/>
      <c r="Q7" s="26"/>
      <c r="R7" s="26"/>
      <c r="S7" s="3"/>
      <c r="T7" s="3"/>
    </row>
    <row r="8" spans="1:20" ht="15.75" customHeight="1">
      <c r="A8" s="3"/>
      <c r="B8" s="3"/>
      <c r="C8" s="2" t="s">
        <v>77</v>
      </c>
      <c r="D8" s="19"/>
      <c r="E8" s="19"/>
      <c r="F8" s="19"/>
      <c r="G8" s="19"/>
      <c r="H8" s="1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3.5" customHeight="1">
      <c r="A9" s="3"/>
      <c r="B9" s="3"/>
      <c r="C9" s="32" t="s">
        <v>78</v>
      </c>
      <c r="D9" s="58">
        <v>1247447</v>
      </c>
      <c r="E9" s="58">
        <v>1143674</v>
      </c>
      <c r="F9" s="58">
        <v>566809</v>
      </c>
      <c r="G9" s="58">
        <v>600462</v>
      </c>
      <c r="H9" s="58">
        <v>1114860</v>
      </c>
      <c r="I9" s="59">
        <f t="shared" ref="I9:R9" si="0">I53-I11-I12-I13-I14-I15-I24</f>
        <v>1628365.7329363246</v>
      </c>
      <c r="J9" s="59">
        <f t="shared" si="0"/>
        <v>2554034.1926963553</v>
      </c>
      <c r="K9" s="59">
        <f t="shared" si="0"/>
        <v>3715373.3884205362</v>
      </c>
      <c r="L9" s="59">
        <f t="shared" si="0"/>
        <v>5118984.1556875147</v>
      </c>
      <c r="M9" s="59">
        <f t="shared" si="0"/>
        <v>6795867.4047623379</v>
      </c>
      <c r="N9" s="59">
        <f t="shared" si="0"/>
        <v>8774360.1646286212</v>
      </c>
      <c r="O9" s="59">
        <f t="shared" si="0"/>
        <v>11074324.013753675</v>
      </c>
      <c r="P9" s="59">
        <f t="shared" si="0"/>
        <v>13737092.517976629</v>
      </c>
      <c r="Q9" s="59">
        <f t="shared" si="0"/>
        <v>16799829.028844565</v>
      </c>
      <c r="R9" s="59">
        <f t="shared" si="0"/>
        <v>20299771.145748015</v>
      </c>
      <c r="S9" s="3"/>
      <c r="T9" s="3"/>
    </row>
    <row r="10" spans="1:20" ht="13.5" customHeight="1">
      <c r="A10" s="3"/>
      <c r="B10" s="3"/>
      <c r="C10" s="32" t="s">
        <v>79</v>
      </c>
      <c r="D10" s="58">
        <v>84906</v>
      </c>
      <c r="E10" s="58">
        <v>1138174</v>
      </c>
      <c r="F10" s="58">
        <v>0</v>
      </c>
      <c r="G10" s="58">
        <v>0</v>
      </c>
      <c r="H10" s="58">
        <v>99603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3"/>
      <c r="T10" s="3"/>
    </row>
    <row r="11" spans="1:20" ht="13.5" customHeight="1">
      <c r="A11" s="3"/>
      <c r="B11" s="3"/>
      <c r="C11" s="32" t="s">
        <v>80</v>
      </c>
      <c r="D11" s="58">
        <v>276139</v>
      </c>
      <c r="E11" s="58">
        <v>183944</v>
      </c>
      <c r="F11" s="58">
        <v>422333</v>
      </c>
      <c r="G11" s="58">
        <v>346800</v>
      </c>
      <c r="H11" s="58">
        <v>360312</v>
      </c>
      <c r="I11" s="59">
        <f>'Income Statement'!I12*40/365</f>
        <v>363624.10958904109</v>
      </c>
      <c r="J11" s="59">
        <f>'Income Statement'!J12*40/365</f>
        <v>424259.87743320432</v>
      </c>
      <c r="K11" s="59">
        <f>'Income Statement'!K12*40/365</f>
        <v>483798.33636349393</v>
      </c>
      <c r="L11" s="59">
        <f>'Income Statement'!L12*40/365</f>
        <v>549428.45695197757</v>
      </c>
      <c r="M11" s="59">
        <f>'Income Statement'!M12*40/365</f>
        <v>621757.62056505971</v>
      </c>
      <c r="N11" s="59">
        <f>'Income Statement'!N12*40/365</f>
        <v>701459.69288373494</v>
      </c>
      <c r="O11" s="59">
        <f>'Income Statement'!O12*40/365</f>
        <v>789283.3322121005</v>
      </c>
      <c r="P11" s="59">
        <f>'Income Statement'!P12*40/365</f>
        <v>886061.45423642441</v>
      </c>
      <c r="Q11" s="59">
        <f>'Income Statement'!Q12*40/365</f>
        <v>992722.02474491333</v>
      </c>
      <c r="R11" s="59">
        <f>'Income Statement'!R12*40/365</f>
        <v>1110300.3780460523</v>
      </c>
      <c r="S11" s="3"/>
      <c r="T11" s="3"/>
    </row>
    <row r="12" spans="1:20" ht="13.5" customHeight="1">
      <c r="A12" s="3"/>
      <c r="B12" s="3"/>
      <c r="C12" s="32" t="s">
        <v>81</v>
      </c>
      <c r="D12" s="58">
        <v>4966</v>
      </c>
      <c r="E12" s="58">
        <v>1056</v>
      </c>
      <c r="F12" s="58">
        <v>974</v>
      </c>
      <c r="G12" s="58">
        <v>2579</v>
      </c>
      <c r="H12" s="58">
        <v>11974</v>
      </c>
      <c r="I12" s="59">
        <f t="shared" ref="I12:R12" si="1">H12</f>
        <v>11974</v>
      </c>
      <c r="J12" s="59">
        <f t="shared" si="1"/>
        <v>11974</v>
      </c>
      <c r="K12" s="59">
        <f t="shared" si="1"/>
        <v>11974</v>
      </c>
      <c r="L12" s="59">
        <f t="shared" si="1"/>
        <v>11974</v>
      </c>
      <c r="M12" s="59">
        <f t="shared" si="1"/>
        <v>11974</v>
      </c>
      <c r="N12" s="59">
        <f t="shared" si="1"/>
        <v>11974</v>
      </c>
      <c r="O12" s="59">
        <f t="shared" si="1"/>
        <v>11974</v>
      </c>
      <c r="P12" s="59">
        <f t="shared" si="1"/>
        <v>11974</v>
      </c>
      <c r="Q12" s="59">
        <f t="shared" si="1"/>
        <v>11974</v>
      </c>
      <c r="R12" s="59">
        <f t="shared" si="1"/>
        <v>11974</v>
      </c>
      <c r="S12" s="3"/>
      <c r="T12" s="3"/>
    </row>
    <row r="13" spans="1:20" ht="13.5" customHeight="1">
      <c r="A13" s="3"/>
      <c r="B13" s="3"/>
      <c r="C13" s="32" t="s">
        <v>82</v>
      </c>
      <c r="D13" s="58">
        <v>409521</v>
      </c>
      <c r="E13" s="58">
        <v>664698</v>
      </c>
      <c r="F13" s="58">
        <v>692261</v>
      </c>
      <c r="G13" s="58">
        <v>826863</v>
      </c>
      <c r="H13" s="58">
        <v>843989</v>
      </c>
      <c r="I13" s="59">
        <f>'Income Statement'!I19*125/365</f>
        <v>799600</v>
      </c>
      <c r="J13" s="59">
        <f>'Income Statement'!J19*125/365</f>
        <v>872297.23278535379</v>
      </c>
      <c r="K13" s="59">
        <f>'Income Statement'!K19*125/365</f>
        <v>951847.3172839944</v>
      </c>
      <c r="L13" s="59">
        <f>'Income Statement'!L19*125/365</f>
        <v>1038908.1365029211</v>
      </c>
      <c r="M13" s="59">
        <f>'Income Statement'!M19*125/365</f>
        <v>1134201.3129358804</v>
      </c>
      <c r="N13" s="59">
        <f>'Income Statement'!N19*125/365</f>
        <v>1238518.4140598325</v>
      </c>
      <c r="O13" s="59">
        <f>'Income Statement'!O19*125/365</f>
        <v>1352727.7637186227</v>
      </c>
      <c r="P13" s="59">
        <f>'Income Statement'!P19*125/365</f>
        <v>1477781.9186686515</v>
      </c>
      <c r="Q13" s="59">
        <f>'Income Statement'!Q19*125/365</f>
        <v>1614725.8753695874</v>
      </c>
      <c r="R13" s="59">
        <f>'Income Statement'!R19*125/365</f>
        <v>1764706.0784814171</v>
      </c>
      <c r="S13" s="3"/>
      <c r="T13" s="3"/>
    </row>
    <row r="14" spans="1:20" ht="13.5" customHeight="1">
      <c r="A14" s="3"/>
      <c r="B14" s="3"/>
      <c r="C14" s="32" t="s">
        <v>83</v>
      </c>
      <c r="D14" s="58">
        <v>95341</v>
      </c>
      <c r="E14" s="58">
        <v>157910</v>
      </c>
      <c r="F14" s="58">
        <v>149352</v>
      </c>
      <c r="G14" s="58">
        <v>145390</v>
      </c>
      <c r="H14" s="58">
        <v>169339</v>
      </c>
      <c r="I14" s="59">
        <f>'Income Statement'!I12*0.047</f>
        <v>155949.29</v>
      </c>
      <c r="J14" s="59">
        <f>'Income Statement'!J12*0.047</f>
        <v>181954.45493416549</v>
      </c>
      <c r="K14" s="59">
        <f>'Income Statement'!K12*0.047</f>
        <v>207489.01150789345</v>
      </c>
      <c r="L14" s="59">
        <f>'Income Statement'!L12*0.047</f>
        <v>235636.12947527942</v>
      </c>
      <c r="M14" s="59">
        <f>'Income Statement'!M12*0.047</f>
        <v>266656.29951983999</v>
      </c>
      <c r="N14" s="59">
        <f>'Income Statement'!N12*0.047</f>
        <v>300838.52578551188</v>
      </c>
      <c r="O14" s="59">
        <f>'Income Statement'!O12*0.047</f>
        <v>338503.88910246454</v>
      </c>
      <c r="P14" s="59">
        <f>'Income Statement'!P12*0.047</f>
        <v>380009.60618564655</v>
      </c>
      <c r="Q14" s="59">
        <f>'Income Statement'!Q12*0.047</f>
        <v>425753.65836247476</v>
      </c>
      <c r="R14" s="59">
        <f>'Income Statement'!R12*0.047</f>
        <v>476180.07463450066</v>
      </c>
      <c r="S14" s="3"/>
      <c r="T14" s="3"/>
    </row>
    <row r="15" spans="1:20" ht="13.5" customHeight="1">
      <c r="A15" s="3"/>
      <c r="B15" s="3"/>
      <c r="C15" s="35" t="s">
        <v>84</v>
      </c>
      <c r="D15" s="60">
        <v>23232</v>
      </c>
      <c r="E15" s="60">
        <v>32180</v>
      </c>
      <c r="F15" s="60">
        <v>10161</v>
      </c>
      <c r="G15" s="60">
        <v>1093</v>
      </c>
      <c r="H15" s="60">
        <v>39138</v>
      </c>
      <c r="I15" s="61">
        <f t="shared" ref="I15:R15" si="2">H15</f>
        <v>39138</v>
      </c>
      <c r="J15" s="61">
        <f t="shared" si="2"/>
        <v>39138</v>
      </c>
      <c r="K15" s="61">
        <f t="shared" si="2"/>
        <v>39138</v>
      </c>
      <c r="L15" s="61">
        <f t="shared" si="2"/>
        <v>39138</v>
      </c>
      <c r="M15" s="61">
        <f t="shared" si="2"/>
        <v>39138</v>
      </c>
      <c r="N15" s="61">
        <f t="shared" si="2"/>
        <v>39138</v>
      </c>
      <c r="O15" s="61">
        <f t="shared" si="2"/>
        <v>39138</v>
      </c>
      <c r="P15" s="61">
        <f t="shared" si="2"/>
        <v>39138</v>
      </c>
      <c r="Q15" s="61">
        <f t="shared" si="2"/>
        <v>39138</v>
      </c>
      <c r="R15" s="61">
        <f t="shared" si="2"/>
        <v>39138</v>
      </c>
      <c r="S15" s="3"/>
      <c r="T15" s="3"/>
    </row>
    <row r="16" spans="1:20" ht="15" customHeight="1">
      <c r="A16" s="3"/>
      <c r="B16" s="3"/>
      <c r="C16" s="38" t="s">
        <v>85</v>
      </c>
      <c r="D16" s="58">
        <v>2141552</v>
      </c>
      <c r="E16" s="58">
        <v>3321636</v>
      </c>
      <c r="F16" s="58">
        <v>1841890</v>
      </c>
      <c r="G16" s="58">
        <v>1923187</v>
      </c>
      <c r="H16" s="58">
        <v>2639215</v>
      </c>
      <c r="I16" s="59">
        <f t="shared" ref="I16:R16" si="3">SUM(I9:I15)</f>
        <v>2998651.1325253658</v>
      </c>
      <c r="J16" s="59">
        <f t="shared" si="3"/>
        <v>4083657.7578490786</v>
      </c>
      <c r="K16" s="59">
        <f t="shared" si="3"/>
        <v>5409620.0535759181</v>
      </c>
      <c r="L16" s="59">
        <f t="shared" si="3"/>
        <v>6994068.8786176937</v>
      </c>
      <c r="M16" s="59">
        <f t="shared" si="3"/>
        <v>8869594.6377831176</v>
      </c>
      <c r="N16" s="59">
        <f t="shared" si="3"/>
        <v>11066288.797357701</v>
      </c>
      <c r="O16" s="59">
        <f t="shared" si="3"/>
        <v>13605950.998786861</v>
      </c>
      <c r="P16" s="59">
        <f t="shared" si="3"/>
        <v>16532057.497067351</v>
      </c>
      <c r="Q16" s="59">
        <f t="shared" si="3"/>
        <v>19884142.587321538</v>
      </c>
      <c r="R16" s="59">
        <f t="shared" si="3"/>
        <v>23702069.676909983</v>
      </c>
      <c r="S16" s="3"/>
      <c r="T16" s="3"/>
    </row>
    <row r="17" spans="1:20" ht="6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5.75" customHeight="1">
      <c r="A18" s="3"/>
      <c r="B18" s="3"/>
      <c r="C18" s="2" t="s">
        <v>86</v>
      </c>
      <c r="D18" s="19"/>
      <c r="E18" s="19"/>
      <c r="F18" s="19"/>
      <c r="G18" s="19"/>
      <c r="H18" s="1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3.5" customHeight="1">
      <c r="A19" s="3"/>
      <c r="B19" s="3"/>
      <c r="C19" s="32" t="s">
        <v>87</v>
      </c>
      <c r="D19" s="58">
        <v>3576599</v>
      </c>
      <c r="E19" s="58">
        <v>3473490</v>
      </c>
      <c r="F19" s="58">
        <v>3368772</v>
      </c>
      <c r="G19" s="58">
        <v>3286515</v>
      </c>
      <c r="H19" s="58">
        <v>3325077</v>
      </c>
      <c r="I19" s="59">
        <f>H19+I55-'Income Statement'!I18</f>
        <v>3415029</v>
      </c>
      <c r="J19" s="59">
        <f>I19+J55-'Income Statement'!J18</f>
        <v>3503739.5924574817</v>
      </c>
      <c r="K19" s="59">
        <f>J19+K55-'Income Statement'!K18</f>
        <v>3590997.9786383179</v>
      </c>
      <c r="L19" s="59">
        <f>K19+L55-'Income Statement'!L18</f>
        <v>3676578.397165033</v>
      </c>
      <c r="M19" s="59">
        <f>L19+M55-'Income Statement'!M18</f>
        <v>3760241.0661508939</v>
      </c>
      <c r="N19" s="59">
        <f>M19+N55-'Income Statement'!N18</f>
        <v>3841730.0786329634</v>
      </c>
      <c r="O19" s="59">
        <f>N19+O55-'Income Statement'!O18</f>
        <v>3920774.2492424347</v>
      </c>
      <c r="P19" s="59">
        <f>O19+P55-'Income Statement'!P18</f>
        <v>3997083.9099595374</v>
      </c>
      <c r="Q19" s="59">
        <f>P19+Q55-'Income Statement'!Q18</f>
        <v>4070351.6527052918</v>
      </c>
      <c r="R19" s="59">
        <f>Q19+R55-'Income Statement'!R18</f>
        <v>4140251.0164231271</v>
      </c>
      <c r="S19" s="3"/>
      <c r="T19" s="3"/>
    </row>
    <row r="20" spans="1:20" ht="13.5" customHeight="1">
      <c r="A20" s="3"/>
      <c r="B20" s="3"/>
      <c r="C20" s="32" t="s">
        <v>88</v>
      </c>
      <c r="D20" s="58">
        <v>51247</v>
      </c>
      <c r="E20" s="58">
        <v>47117</v>
      </c>
      <c r="F20" s="58">
        <v>43577</v>
      </c>
      <c r="G20" s="58">
        <v>39822</v>
      </c>
      <c r="H20" s="58">
        <v>36162</v>
      </c>
      <c r="I20" s="59">
        <f t="shared" ref="I20:R20" si="4">MAX(0,H20-4000)</f>
        <v>32162</v>
      </c>
      <c r="J20" s="59">
        <f t="shared" si="4"/>
        <v>28162</v>
      </c>
      <c r="K20" s="59">
        <f t="shared" si="4"/>
        <v>24162</v>
      </c>
      <c r="L20" s="59">
        <f t="shared" si="4"/>
        <v>20162</v>
      </c>
      <c r="M20" s="59">
        <f t="shared" si="4"/>
        <v>16162</v>
      </c>
      <c r="N20" s="59">
        <f t="shared" si="4"/>
        <v>12162</v>
      </c>
      <c r="O20" s="59">
        <f t="shared" si="4"/>
        <v>8162</v>
      </c>
      <c r="P20" s="59">
        <f t="shared" si="4"/>
        <v>4162</v>
      </c>
      <c r="Q20" s="59">
        <f t="shared" si="4"/>
        <v>162</v>
      </c>
      <c r="R20" s="59">
        <f t="shared" si="4"/>
        <v>0</v>
      </c>
      <c r="S20" s="3"/>
      <c r="T20" s="3"/>
    </row>
    <row r="21" spans="1:20" ht="13.5" customHeight="1">
      <c r="A21" s="3"/>
      <c r="B21" s="3"/>
      <c r="C21" s="32" t="s">
        <v>89</v>
      </c>
      <c r="D21" s="58">
        <v>577527</v>
      </c>
      <c r="E21" s="58">
        <v>595507</v>
      </c>
      <c r="F21" s="58">
        <v>613773</v>
      </c>
      <c r="G21" s="58">
        <v>595896</v>
      </c>
      <c r="H21" s="58">
        <v>647245</v>
      </c>
      <c r="I21" s="59">
        <f t="shared" ref="I21:R21" si="5">H21</f>
        <v>647245</v>
      </c>
      <c r="J21" s="59">
        <f t="shared" si="5"/>
        <v>647245</v>
      </c>
      <c r="K21" s="59">
        <f t="shared" si="5"/>
        <v>647245</v>
      </c>
      <c r="L21" s="59">
        <f t="shared" si="5"/>
        <v>647245</v>
      </c>
      <c r="M21" s="59">
        <f t="shared" si="5"/>
        <v>647245</v>
      </c>
      <c r="N21" s="59">
        <f t="shared" si="5"/>
        <v>647245</v>
      </c>
      <c r="O21" s="59">
        <f t="shared" si="5"/>
        <v>647245</v>
      </c>
      <c r="P21" s="59">
        <f t="shared" si="5"/>
        <v>647245</v>
      </c>
      <c r="Q21" s="59">
        <f t="shared" si="5"/>
        <v>647245</v>
      </c>
      <c r="R21" s="59">
        <f t="shared" si="5"/>
        <v>647245</v>
      </c>
      <c r="S21" s="3"/>
      <c r="T21" s="3"/>
    </row>
    <row r="22" spans="1:20" ht="13.5" customHeight="1">
      <c r="A22" s="3"/>
      <c r="B22" s="3"/>
      <c r="C22" s="32" t="s">
        <v>90</v>
      </c>
      <c r="D22" s="58">
        <v>233240</v>
      </c>
      <c r="E22" s="58">
        <v>210972</v>
      </c>
      <c r="F22" s="58">
        <v>3173185</v>
      </c>
      <c r="G22" s="58">
        <v>3218456</v>
      </c>
      <c r="H22" s="58">
        <v>2987126</v>
      </c>
      <c r="I22" s="59">
        <f>H22+'Income Statement'!I36-I56</f>
        <v>2644378</v>
      </c>
      <c r="J22" s="59">
        <f>I22+'Income Statement'!J36-J56</f>
        <v>2267355.2000000002</v>
      </c>
      <c r="K22" s="59">
        <f>J22+'Income Statement'!K36-K56</f>
        <v>1852630.12</v>
      </c>
      <c r="L22" s="59">
        <f>K22+'Income Statement'!L36-L56</f>
        <v>1422205.6965600001</v>
      </c>
      <c r="M22" s="59">
        <f>L22+'Income Statement'!M36-M56</f>
        <v>955459.67907280009</v>
      </c>
      <c r="N22" s="59">
        <f>M22+'Income Statement'!N36-N56</f>
        <v>449633.61841226416</v>
      </c>
      <c r="O22" s="59">
        <f>N22+'Income Statement'!O36-O56</f>
        <v>-59444.838719977997</v>
      </c>
      <c r="P22" s="59">
        <f>O22+'Income Statement'!P36-P56</f>
        <v>-597711.2563713789</v>
      </c>
      <c r="Q22" s="59">
        <f>P22+'Income Statement'!Q36-Q56</f>
        <v>-1164609.248962804</v>
      </c>
      <c r="R22" s="59">
        <f>Q22+'Income Statement'!R36-R56</f>
        <v>-1758970.763296237</v>
      </c>
      <c r="S22" s="3"/>
      <c r="T22" s="3"/>
    </row>
    <row r="23" spans="1:20" ht="13.5" customHeight="1">
      <c r="A23" s="3"/>
      <c r="B23" s="3"/>
      <c r="C23" s="35" t="s">
        <v>91</v>
      </c>
      <c r="D23" s="60">
        <v>937579</v>
      </c>
      <c r="E23" s="60">
        <v>984071</v>
      </c>
      <c r="F23" s="60">
        <v>892860</v>
      </c>
      <c r="G23" s="60">
        <v>843131</v>
      </c>
      <c r="H23" s="60">
        <v>666457</v>
      </c>
      <c r="I23" s="61">
        <f t="shared" ref="I23:R23" si="6">MAX(0,H23-40000)</f>
        <v>626457</v>
      </c>
      <c r="J23" s="61">
        <f t="shared" si="6"/>
        <v>586457</v>
      </c>
      <c r="K23" s="61">
        <f t="shared" si="6"/>
        <v>546457</v>
      </c>
      <c r="L23" s="61">
        <f t="shared" si="6"/>
        <v>506457</v>
      </c>
      <c r="M23" s="61">
        <f t="shared" si="6"/>
        <v>466457</v>
      </c>
      <c r="N23" s="61">
        <f t="shared" si="6"/>
        <v>426457</v>
      </c>
      <c r="O23" s="61">
        <f t="shared" si="6"/>
        <v>386457</v>
      </c>
      <c r="P23" s="61">
        <f t="shared" si="6"/>
        <v>346457</v>
      </c>
      <c r="Q23" s="61">
        <f t="shared" si="6"/>
        <v>306457</v>
      </c>
      <c r="R23" s="61">
        <f t="shared" si="6"/>
        <v>266457</v>
      </c>
      <c r="S23" s="3"/>
      <c r="T23" s="3"/>
    </row>
    <row r="24" spans="1:20" ht="15" customHeight="1">
      <c r="A24" s="3"/>
      <c r="B24" s="3"/>
      <c r="C24" s="38" t="s">
        <v>92</v>
      </c>
      <c r="D24" s="58">
        <v>5376192</v>
      </c>
      <c r="E24" s="58">
        <v>5311157</v>
      </c>
      <c r="F24" s="58">
        <v>8092167</v>
      </c>
      <c r="G24" s="58">
        <v>7983820</v>
      </c>
      <c r="H24" s="58">
        <v>7662067</v>
      </c>
      <c r="I24" s="59">
        <f t="shared" ref="I24:R24" si="7">SUM(I19:I23)</f>
        <v>7365271</v>
      </c>
      <c r="J24" s="59">
        <f t="shared" si="7"/>
        <v>7032958.7924574818</v>
      </c>
      <c r="K24" s="59">
        <f t="shared" si="7"/>
        <v>6661492.0986383175</v>
      </c>
      <c r="L24" s="59">
        <f t="shared" si="7"/>
        <v>6272648.0937250331</v>
      </c>
      <c r="M24" s="59">
        <f t="shared" si="7"/>
        <v>5845564.7452236945</v>
      </c>
      <c r="N24" s="59">
        <f t="shared" si="7"/>
        <v>5377227.6970452275</v>
      </c>
      <c r="O24" s="59">
        <f t="shared" si="7"/>
        <v>4903193.4105224563</v>
      </c>
      <c r="P24" s="59">
        <f t="shared" si="7"/>
        <v>4397236.653588159</v>
      </c>
      <c r="Q24" s="59">
        <f t="shared" si="7"/>
        <v>3859606.4037424875</v>
      </c>
      <c r="R24" s="59">
        <f t="shared" si="7"/>
        <v>3294982.2531268895</v>
      </c>
      <c r="S24" s="3"/>
      <c r="T24" s="3"/>
    </row>
    <row r="25" spans="1:20" ht="15" customHeight="1">
      <c r="A25" s="3"/>
      <c r="B25" s="3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3"/>
      <c r="T25" s="3"/>
    </row>
    <row r="26" spans="1:20" ht="15" customHeight="1">
      <c r="A26" s="3"/>
      <c r="B26" s="3"/>
      <c r="C26" s="38" t="s">
        <v>93</v>
      </c>
      <c r="D26" s="58">
        <v>7517744</v>
      </c>
      <c r="E26" s="58">
        <v>8632793</v>
      </c>
      <c r="F26" s="58">
        <v>9934057</v>
      </c>
      <c r="G26" s="58">
        <v>9907007</v>
      </c>
      <c r="H26" s="58">
        <v>10301282</v>
      </c>
      <c r="I26" s="59">
        <f t="shared" ref="I26:R26" si="8">I16+I24</f>
        <v>10363922.132525366</v>
      </c>
      <c r="J26" s="59">
        <f t="shared" si="8"/>
        <v>11116616.55030656</v>
      </c>
      <c r="K26" s="59">
        <f t="shared" si="8"/>
        <v>12071112.152214237</v>
      </c>
      <c r="L26" s="59">
        <f t="shared" si="8"/>
        <v>13266716.972342726</v>
      </c>
      <c r="M26" s="59">
        <f t="shared" si="8"/>
        <v>14715159.383006811</v>
      </c>
      <c r="N26" s="59">
        <f t="shared" si="8"/>
        <v>16443516.494402928</v>
      </c>
      <c r="O26" s="59">
        <f t="shared" si="8"/>
        <v>18509144.409309316</v>
      </c>
      <c r="P26" s="59">
        <f t="shared" si="8"/>
        <v>20929294.150655508</v>
      </c>
      <c r="Q26" s="59">
        <f t="shared" si="8"/>
        <v>23743748.991064027</v>
      </c>
      <c r="R26" s="59">
        <f t="shared" si="8"/>
        <v>26997051.930036873</v>
      </c>
      <c r="S26" s="3"/>
      <c r="T26" s="3"/>
    </row>
    <row r="27" spans="1:20" ht="6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8" customHeight="1">
      <c r="A28" s="3"/>
      <c r="B28" s="26"/>
      <c r="C28" s="56" t="s">
        <v>94</v>
      </c>
      <c r="D28" s="57"/>
      <c r="E28" s="57"/>
      <c r="F28" s="57"/>
      <c r="G28" s="57"/>
      <c r="H28" s="57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3"/>
      <c r="T28" s="3"/>
    </row>
    <row r="29" spans="1:20" ht="15.75" customHeight="1">
      <c r="A29" s="3"/>
      <c r="B29" s="3"/>
      <c r="C29" s="62" t="s">
        <v>95</v>
      </c>
      <c r="D29" s="63"/>
      <c r="E29" s="63"/>
      <c r="F29" s="63"/>
      <c r="G29" s="63"/>
      <c r="H29" s="6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3.5" customHeight="1">
      <c r="A30" s="3"/>
      <c r="B30" s="3"/>
      <c r="C30" s="32" t="s">
        <v>96</v>
      </c>
      <c r="D30" s="58">
        <v>340458</v>
      </c>
      <c r="E30" s="58">
        <v>374714</v>
      </c>
      <c r="F30" s="58">
        <v>577550</v>
      </c>
      <c r="G30" s="58">
        <v>619035</v>
      </c>
      <c r="H30" s="58">
        <v>871355</v>
      </c>
      <c r="I30" s="59">
        <f>'Income Statement'!I19*100/365</f>
        <v>639680</v>
      </c>
      <c r="J30" s="59">
        <f>'Income Statement'!J19*100/365</f>
        <v>697837.78622828296</v>
      </c>
      <c r="K30" s="59">
        <f>'Income Statement'!K19*100/365</f>
        <v>761477.85382719547</v>
      </c>
      <c r="L30" s="59">
        <f>'Income Statement'!L19*100/365</f>
        <v>831126.50920233689</v>
      </c>
      <c r="M30" s="59">
        <f>'Income Statement'!M19*100/365</f>
        <v>907361.05034870433</v>
      </c>
      <c r="N30" s="59">
        <f>'Income Statement'!N19*100/365</f>
        <v>990814.73124786594</v>
      </c>
      <c r="O30" s="59">
        <f>'Income Statement'!O19*100/365</f>
        <v>1082182.2109748982</v>
      </c>
      <c r="P30" s="59">
        <f>'Income Statement'!P19*100/365</f>
        <v>1182225.5349349212</v>
      </c>
      <c r="Q30" s="59">
        <f>'Income Statement'!Q19*100/365</f>
        <v>1291780.70029567</v>
      </c>
      <c r="R30" s="59">
        <f>'Income Statement'!R19*100/365</f>
        <v>1411764.8627851338</v>
      </c>
      <c r="S30" s="3"/>
      <c r="T30" s="3"/>
    </row>
    <row r="31" spans="1:20" ht="13.5" customHeight="1">
      <c r="A31" s="3"/>
      <c r="B31" s="3"/>
      <c r="C31" s="32" t="s">
        <v>97</v>
      </c>
      <c r="D31" s="58">
        <v>4129</v>
      </c>
      <c r="E31" s="58">
        <v>6498</v>
      </c>
      <c r="F31" s="58">
        <v>24076</v>
      </c>
      <c r="G31" s="58">
        <v>21225</v>
      </c>
      <c r="H31" s="58">
        <v>16516</v>
      </c>
      <c r="I31" s="59">
        <f t="shared" ref="I31:R31" si="9">H31</f>
        <v>16516</v>
      </c>
      <c r="J31" s="59">
        <f t="shared" si="9"/>
        <v>16516</v>
      </c>
      <c r="K31" s="59">
        <f t="shared" si="9"/>
        <v>16516</v>
      </c>
      <c r="L31" s="59">
        <f t="shared" si="9"/>
        <v>16516</v>
      </c>
      <c r="M31" s="59">
        <f t="shared" si="9"/>
        <v>16516</v>
      </c>
      <c r="N31" s="59">
        <f t="shared" si="9"/>
        <v>16516</v>
      </c>
      <c r="O31" s="59">
        <f t="shared" si="9"/>
        <v>16516</v>
      </c>
      <c r="P31" s="59">
        <f t="shared" si="9"/>
        <v>16516</v>
      </c>
      <c r="Q31" s="59">
        <f t="shared" si="9"/>
        <v>16516</v>
      </c>
      <c r="R31" s="59">
        <f t="shared" si="9"/>
        <v>16516</v>
      </c>
      <c r="S31" s="3"/>
      <c r="T31" s="3"/>
    </row>
    <row r="32" spans="1:20" ht="13.5" customHeight="1">
      <c r="A32" s="3"/>
      <c r="B32" s="3"/>
      <c r="C32" s="32" t="s">
        <v>98</v>
      </c>
      <c r="D32" s="58">
        <v>0</v>
      </c>
      <c r="E32" s="58">
        <v>0</v>
      </c>
      <c r="F32" s="58">
        <v>499821</v>
      </c>
      <c r="G32" s="58">
        <v>285707</v>
      </c>
      <c r="H32" s="58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3"/>
      <c r="T32" s="3"/>
    </row>
    <row r="33" spans="1:20" ht="13.5" customHeight="1">
      <c r="A33" s="3"/>
      <c r="B33" s="3"/>
      <c r="C33" s="32" t="s">
        <v>99</v>
      </c>
      <c r="D33" s="58">
        <v>22791</v>
      </c>
      <c r="E33" s="58">
        <v>131324</v>
      </c>
      <c r="F33" s="58">
        <v>48544</v>
      </c>
      <c r="G33" s="58">
        <v>221820</v>
      </c>
      <c r="H33" s="58">
        <v>134667</v>
      </c>
      <c r="I33" s="59">
        <f t="shared" ref="I33:R33" si="10">H33</f>
        <v>134667</v>
      </c>
      <c r="J33" s="59">
        <f t="shared" si="10"/>
        <v>134667</v>
      </c>
      <c r="K33" s="59">
        <f t="shared" si="10"/>
        <v>134667</v>
      </c>
      <c r="L33" s="59">
        <f t="shared" si="10"/>
        <v>134667</v>
      </c>
      <c r="M33" s="59">
        <f t="shared" si="10"/>
        <v>134667</v>
      </c>
      <c r="N33" s="59">
        <f t="shared" si="10"/>
        <v>134667</v>
      </c>
      <c r="O33" s="59">
        <f t="shared" si="10"/>
        <v>134667</v>
      </c>
      <c r="P33" s="59">
        <f t="shared" si="10"/>
        <v>134667</v>
      </c>
      <c r="Q33" s="59">
        <f t="shared" si="10"/>
        <v>134667</v>
      </c>
      <c r="R33" s="59">
        <f t="shared" si="10"/>
        <v>134667</v>
      </c>
      <c r="S33" s="3"/>
      <c r="T33" s="3"/>
    </row>
    <row r="34" spans="1:20" ht="13.5" customHeight="1">
      <c r="A34" s="3"/>
      <c r="B34" s="3"/>
      <c r="C34" s="35" t="s">
        <v>100</v>
      </c>
      <c r="D34" s="60">
        <v>46365</v>
      </c>
      <c r="E34" s="60">
        <v>48305</v>
      </c>
      <c r="F34" s="60">
        <v>39113</v>
      </c>
      <c r="G34" s="60">
        <v>37974</v>
      </c>
      <c r="H34" s="60">
        <v>47648</v>
      </c>
      <c r="I34" s="61">
        <f t="shared" ref="I34:R34" si="11">H34</f>
        <v>47648</v>
      </c>
      <c r="J34" s="61">
        <f t="shared" si="11"/>
        <v>47648</v>
      </c>
      <c r="K34" s="61">
        <f t="shared" si="11"/>
        <v>47648</v>
      </c>
      <c r="L34" s="61">
        <f t="shared" si="11"/>
        <v>47648</v>
      </c>
      <c r="M34" s="61">
        <f t="shared" si="11"/>
        <v>47648</v>
      </c>
      <c r="N34" s="61">
        <f t="shared" si="11"/>
        <v>47648</v>
      </c>
      <c r="O34" s="61">
        <f t="shared" si="11"/>
        <v>47648</v>
      </c>
      <c r="P34" s="61">
        <f t="shared" si="11"/>
        <v>47648</v>
      </c>
      <c r="Q34" s="61">
        <f t="shared" si="11"/>
        <v>47648</v>
      </c>
      <c r="R34" s="61">
        <f t="shared" si="11"/>
        <v>47648</v>
      </c>
      <c r="S34" s="3"/>
      <c r="T34" s="3"/>
    </row>
    <row r="35" spans="1:20" ht="15" customHeight="1">
      <c r="A35" s="3"/>
      <c r="B35" s="3"/>
      <c r="C35" s="38" t="s">
        <v>101</v>
      </c>
      <c r="D35" s="58">
        <v>413743</v>
      </c>
      <c r="E35" s="58">
        <v>560841</v>
      </c>
      <c r="F35" s="58">
        <v>1189104</v>
      </c>
      <c r="G35" s="58">
        <v>1185761</v>
      </c>
      <c r="H35" s="58">
        <v>1070186</v>
      </c>
      <c r="I35" s="59">
        <f t="shared" ref="I35:R35" si="12">SUM(I30:I34)</f>
        <v>838511</v>
      </c>
      <c r="J35" s="59">
        <f t="shared" si="12"/>
        <v>896668.78622828296</v>
      </c>
      <c r="K35" s="59">
        <f t="shared" si="12"/>
        <v>960308.85382719547</v>
      </c>
      <c r="L35" s="59">
        <f t="shared" si="12"/>
        <v>1029957.5092023369</v>
      </c>
      <c r="M35" s="59">
        <f t="shared" si="12"/>
        <v>1106192.0503487042</v>
      </c>
      <c r="N35" s="59">
        <f t="shared" si="12"/>
        <v>1189645.7312478661</v>
      </c>
      <c r="O35" s="59">
        <f t="shared" si="12"/>
        <v>1281013.2109748982</v>
      </c>
      <c r="P35" s="59">
        <f t="shared" si="12"/>
        <v>1381056.5349349212</v>
      </c>
      <c r="Q35" s="59">
        <f t="shared" si="12"/>
        <v>1490611.70029567</v>
      </c>
      <c r="R35" s="59">
        <f t="shared" si="12"/>
        <v>1610595.8627851338</v>
      </c>
      <c r="S35" s="3"/>
      <c r="T35" s="3"/>
    </row>
    <row r="36" spans="1:20" ht="6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5.75" customHeight="1">
      <c r="A37" s="3"/>
      <c r="B37" s="3"/>
      <c r="C37" s="62" t="s">
        <v>102</v>
      </c>
      <c r="D37" s="63"/>
      <c r="E37" s="63"/>
      <c r="F37" s="63"/>
      <c r="G37" s="63"/>
      <c r="H37" s="6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3.5" customHeight="1">
      <c r="A38" s="3"/>
      <c r="B38" s="3"/>
      <c r="C38" s="32" t="s">
        <v>103</v>
      </c>
      <c r="D38" s="58">
        <v>996250</v>
      </c>
      <c r="E38" s="58">
        <v>997000</v>
      </c>
      <c r="F38" s="58">
        <v>1284353</v>
      </c>
      <c r="G38" s="58">
        <v>995583</v>
      </c>
      <c r="H38" s="58">
        <v>996348</v>
      </c>
      <c r="I38" s="59">
        <f t="shared" ref="I38:R38" si="13">H38</f>
        <v>996348</v>
      </c>
      <c r="J38" s="59">
        <f t="shared" si="13"/>
        <v>996348</v>
      </c>
      <c r="K38" s="59">
        <f t="shared" si="13"/>
        <v>996348</v>
      </c>
      <c r="L38" s="59">
        <f t="shared" si="13"/>
        <v>996348</v>
      </c>
      <c r="M38" s="59">
        <f t="shared" si="13"/>
        <v>996348</v>
      </c>
      <c r="N38" s="59">
        <f t="shared" si="13"/>
        <v>996348</v>
      </c>
      <c r="O38" s="59">
        <f t="shared" si="13"/>
        <v>996348</v>
      </c>
      <c r="P38" s="59">
        <f t="shared" si="13"/>
        <v>996348</v>
      </c>
      <c r="Q38" s="59">
        <f t="shared" si="13"/>
        <v>996348</v>
      </c>
      <c r="R38" s="59">
        <f t="shared" si="13"/>
        <v>996348</v>
      </c>
      <c r="S38" s="3"/>
      <c r="T38" s="3"/>
    </row>
    <row r="39" spans="1:20" ht="13.5" customHeight="1">
      <c r="A39" s="3"/>
      <c r="B39" s="3"/>
      <c r="C39" s="32" t="s">
        <v>104</v>
      </c>
      <c r="D39" s="58">
        <v>171774</v>
      </c>
      <c r="E39" s="58">
        <v>216162</v>
      </c>
      <c r="F39" s="58">
        <v>343420</v>
      </c>
      <c r="G39" s="58">
        <v>363497</v>
      </c>
      <c r="H39" s="58">
        <v>377955</v>
      </c>
      <c r="I39" s="59">
        <f t="shared" ref="I39:R39" si="14">H39+15000</f>
        <v>392955</v>
      </c>
      <c r="J39" s="59">
        <f t="shared" si="14"/>
        <v>407955</v>
      </c>
      <c r="K39" s="59">
        <f t="shared" si="14"/>
        <v>422955</v>
      </c>
      <c r="L39" s="59">
        <f t="shared" si="14"/>
        <v>437955</v>
      </c>
      <c r="M39" s="59">
        <f t="shared" si="14"/>
        <v>452955</v>
      </c>
      <c r="N39" s="59">
        <f t="shared" si="14"/>
        <v>467955</v>
      </c>
      <c r="O39" s="59">
        <f t="shared" si="14"/>
        <v>482955</v>
      </c>
      <c r="P39" s="59">
        <f t="shared" si="14"/>
        <v>497955</v>
      </c>
      <c r="Q39" s="59">
        <f t="shared" si="14"/>
        <v>512955</v>
      </c>
      <c r="R39" s="59">
        <f t="shared" si="14"/>
        <v>527955</v>
      </c>
      <c r="S39" s="3"/>
      <c r="T39" s="3"/>
    </row>
    <row r="40" spans="1:20" ht="13.5" customHeight="1">
      <c r="A40" s="3"/>
      <c r="B40" s="3"/>
      <c r="C40" s="35" t="s">
        <v>105</v>
      </c>
      <c r="D40" s="60">
        <v>1090009</v>
      </c>
      <c r="E40" s="60">
        <v>1022725</v>
      </c>
      <c r="F40" s="60">
        <v>1022871</v>
      </c>
      <c r="G40" s="60">
        <v>997833</v>
      </c>
      <c r="H40" s="60">
        <v>953415</v>
      </c>
      <c r="I40" s="61">
        <f t="shared" ref="I40:R40" si="15">MAX(0,H40-15000)</f>
        <v>938415</v>
      </c>
      <c r="J40" s="61">
        <f t="shared" si="15"/>
        <v>923415</v>
      </c>
      <c r="K40" s="61">
        <f t="shared" si="15"/>
        <v>908415</v>
      </c>
      <c r="L40" s="61">
        <f t="shared" si="15"/>
        <v>893415</v>
      </c>
      <c r="M40" s="61">
        <f t="shared" si="15"/>
        <v>878415</v>
      </c>
      <c r="N40" s="61">
        <f t="shared" si="15"/>
        <v>863415</v>
      </c>
      <c r="O40" s="61">
        <f t="shared" si="15"/>
        <v>848415</v>
      </c>
      <c r="P40" s="61">
        <f t="shared" si="15"/>
        <v>833415</v>
      </c>
      <c r="Q40" s="61">
        <f t="shared" si="15"/>
        <v>818415</v>
      </c>
      <c r="R40" s="61">
        <f t="shared" si="15"/>
        <v>803415</v>
      </c>
      <c r="S40" s="3"/>
      <c r="T40" s="3"/>
    </row>
    <row r="41" spans="1:20" ht="15" customHeight="1">
      <c r="A41" s="3"/>
      <c r="B41" s="3"/>
      <c r="C41" s="38" t="s">
        <v>106</v>
      </c>
      <c r="D41" s="58">
        <v>2258033</v>
      </c>
      <c r="E41" s="58">
        <v>2235887</v>
      </c>
      <c r="F41" s="58">
        <v>2650644</v>
      </c>
      <c r="G41" s="58">
        <v>2356913</v>
      </c>
      <c r="H41" s="58">
        <v>2327718</v>
      </c>
      <c r="I41" s="59">
        <f t="shared" ref="I41:R41" si="16">SUM(I38:I40)</f>
        <v>2327718</v>
      </c>
      <c r="J41" s="59">
        <f t="shared" si="16"/>
        <v>2327718</v>
      </c>
      <c r="K41" s="59">
        <f t="shared" si="16"/>
        <v>2327718</v>
      </c>
      <c r="L41" s="59">
        <f t="shared" si="16"/>
        <v>2327718</v>
      </c>
      <c r="M41" s="59">
        <f t="shared" si="16"/>
        <v>2327718</v>
      </c>
      <c r="N41" s="59">
        <f t="shared" si="16"/>
        <v>2327718</v>
      </c>
      <c r="O41" s="59">
        <f t="shared" si="16"/>
        <v>2327718</v>
      </c>
      <c r="P41" s="59">
        <f t="shared" si="16"/>
        <v>2327718</v>
      </c>
      <c r="Q41" s="59">
        <f t="shared" si="16"/>
        <v>2327718</v>
      </c>
      <c r="R41" s="59">
        <f t="shared" si="16"/>
        <v>2327718</v>
      </c>
      <c r="S41" s="3"/>
      <c r="T41" s="3"/>
    </row>
    <row r="42" spans="1:20" ht="15" customHeight="1">
      <c r="A42" s="3"/>
      <c r="B42" s="3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3"/>
      <c r="T42" s="3"/>
    </row>
    <row r="43" spans="1:20" ht="15" customHeight="1">
      <c r="A43" s="3"/>
      <c r="B43" s="3"/>
      <c r="C43" s="38" t="s">
        <v>107</v>
      </c>
      <c r="D43" s="58">
        <v>2671776</v>
      </c>
      <c r="E43" s="58">
        <v>2796728</v>
      </c>
      <c r="F43" s="58">
        <v>3839748</v>
      </c>
      <c r="G43" s="58">
        <v>3542674</v>
      </c>
      <c r="H43" s="58">
        <v>3397904</v>
      </c>
      <c r="I43" s="59">
        <f t="shared" ref="I43:R43" si="17">I35+I41</f>
        <v>3166229</v>
      </c>
      <c r="J43" s="59">
        <f t="shared" si="17"/>
        <v>3224386.7862282828</v>
      </c>
      <c r="K43" s="59">
        <f t="shared" si="17"/>
        <v>3288026.8538271952</v>
      </c>
      <c r="L43" s="59">
        <f t="shared" si="17"/>
        <v>3357675.5092023369</v>
      </c>
      <c r="M43" s="59">
        <f t="shared" si="17"/>
        <v>3433910.0503487042</v>
      </c>
      <c r="N43" s="59">
        <f t="shared" si="17"/>
        <v>3517363.7312478661</v>
      </c>
      <c r="O43" s="59">
        <f t="shared" si="17"/>
        <v>3608731.2109748982</v>
      </c>
      <c r="P43" s="59">
        <f t="shared" si="17"/>
        <v>3708774.5349349212</v>
      </c>
      <c r="Q43" s="59">
        <f t="shared" si="17"/>
        <v>3818329.70029567</v>
      </c>
      <c r="R43" s="59">
        <f t="shared" si="17"/>
        <v>3938313.8627851335</v>
      </c>
      <c r="S43" s="3"/>
      <c r="T43" s="3"/>
    </row>
    <row r="44" spans="1:20" ht="6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8" customHeight="1">
      <c r="A45" s="3"/>
      <c r="B45" s="26"/>
      <c r="C45" s="56" t="s">
        <v>108</v>
      </c>
      <c r="D45" s="57"/>
      <c r="E45" s="57"/>
      <c r="F45" s="57"/>
      <c r="G45" s="57"/>
      <c r="H45" s="57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3"/>
      <c r="T45" s="3"/>
    </row>
    <row r="46" spans="1:20" ht="13.5" customHeight="1">
      <c r="A46" s="3"/>
      <c r="B46" s="3"/>
      <c r="C46" s="32" t="s">
        <v>109</v>
      </c>
      <c r="D46" s="58">
        <v>1903357</v>
      </c>
      <c r="E46" s="58">
        <v>2880336</v>
      </c>
      <c r="F46" s="58">
        <v>2914165</v>
      </c>
      <c r="G46" s="58">
        <v>2935367</v>
      </c>
      <c r="H46" s="58">
        <v>2938235</v>
      </c>
      <c r="I46" s="59">
        <f t="shared" ref="I46:R46" si="18">H46</f>
        <v>2938235</v>
      </c>
      <c r="J46" s="59">
        <f t="shared" si="18"/>
        <v>2938235</v>
      </c>
      <c r="K46" s="59">
        <f t="shared" si="18"/>
        <v>2938235</v>
      </c>
      <c r="L46" s="59">
        <f t="shared" si="18"/>
        <v>2938235</v>
      </c>
      <c r="M46" s="59">
        <f t="shared" si="18"/>
        <v>2938235</v>
      </c>
      <c r="N46" s="59">
        <f t="shared" si="18"/>
        <v>2938235</v>
      </c>
      <c r="O46" s="59">
        <f t="shared" si="18"/>
        <v>2938235</v>
      </c>
      <c r="P46" s="59">
        <f t="shared" si="18"/>
        <v>2938235</v>
      </c>
      <c r="Q46" s="59">
        <f t="shared" si="18"/>
        <v>2938235</v>
      </c>
      <c r="R46" s="59">
        <f t="shared" si="18"/>
        <v>2938235</v>
      </c>
      <c r="S46" s="3"/>
      <c r="T46" s="3"/>
    </row>
    <row r="47" spans="1:20" ht="13.5" customHeight="1">
      <c r="A47" s="3"/>
      <c r="B47" s="3"/>
      <c r="C47" s="32" t="s">
        <v>110</v>
      </c>
      <c r="D47" s="58">
        <v>230039</v>
      </c>
      <c r="E47" s="58">
        <v>224687</v>
      </c>
      <c r="F47" s="58">
        <v>215679</v>
      </c>
      <c r="G47" s="58">
        <v>210784</v>
      </c>
      <c r="H47" s="58">
        <v>211412</v>
      </c>
      <c r="I47" s="59">
        <f t="shared" ref="I47:R47" si="19">H47</f>
        <v>211412</v>
      </c>
      <c r="J47" s="59">
        <f t="shared" si="19"/>
        <v>211412</v>
      </c>
      <c r="K47" s="59">
        <f t="shared" si="19"/>
        <v>211412</v>
      </c>
      <c r="L47" s="59">
        <f t="shared" si="19"/>
        <v>211412</v>
      </c>
      <c r="M47" s="59">
        <f t="shared" si="19"/>
        <v>211412</v>
      </c>
      <c r="N47" s="59">
        <f t="shared" si="19"/>
        <v>211412</v>
      </c>
      <c r="O47" s="59">
        <f t="shared" si="19"/>
        <v>211412</v>
      </c>
      <c r="P47" s="59">
        <f t="shared" si="19"/>
        <v>211412</v>
      </c>
      <c r="Q47" s="59">
        <f t="shared" si="19"/>
        <v>211412</v>
      </c>
      <c r="R47" s="59">
        <f t="shared" si="19"/>
        <v>211412</v>
      </c>
      <c r="S47" s="3"/>
      <c r="T47" s="3"/>
    </row>
    <row r="48" spans="1:20" ht="13.5" customHeight="1">
      <c r="A48" s="3"/>
      <c r="B48" s="3"/>
      <c r="C48" s="32" t="s">
        <v>111</v>
      </c>
      <c r="D48" s="58">
        <v>2639650</v>
      </c>
      <c r="E48" s="58">
        <v>2696379</v>
      </c>
      <c r="F48" s="58">
        <v>2979743</v>
      </c>
      <c r="G48" s="58">
        <v>3099264</v>
      </c>
      <c r="H48" s="58">
        <v>3608778</v>
      </c>
      <c r="I48" s="59">
        <f>H48+'Income Statement'!I44-I57</f>
        <v>3903093.1325253639</v>
      </c>
      <c r="J48" s="59">
        <f>I48+'Income Statement'!J44-J57</f>
        <v>4597629.7640782781</v>
      </c>
      <c r="K48" s="59">
        <f>J48+'Income Statement'!K44-K57</f>
        <v>5488485.2983870385</v>
      </c>
      <c r="L48" s="59">
        <f>K48+'Income Statement'!L44-L57</f>
        <v>6614441.463140389</v>
      </c>
      <c r="M48" s="59">
        <f>L48+'Income Statement'!M44-M57</f>
        <v>7986649.3326581083</v>
      </c>
      <c r="N48" s="59">
        <f>M48+'Income Statement'!N44-N57</f>
        <v>9631552.7631550618</v>
      </c>
      <c r="O48" s="59">
        <f>N48+'Income Statement'!O44-O57</f>
        <v>11605813.198334424</v>
      </c>
      <c r="P48" s="59">
        <f>O48+'Income Statement'!P44-P57</f>
        <v>13925919.615720583</v>
      </c>
      <c r="Q48" s="59">
        <f>P48+'Income Statement'!Q44-Q57</f>
        <v>16630819.290768353</v>
      </c>
      <c r="R48" s="59">
        <f>Q48+'Income Statement'!R44-R57</f>
        <v>19764138.067251738</v>
      </c>
      <c r="S48" s="3"/>
      <c r="T48" s="3"/>
    </row>
    <row r="49" spans="1:20" ht="13.5" customHeight="1">
      <c r="A49" s="3"/>
      <c r="B49" s="3"/>
      <c r="C49" s="32" t="s">
        <v>112</v>
      </c>
      <c r="D49" s="58">
        <v>72795</v>
      </c>
      <c r="E49" s="58">
        <v>34652</v>
      </c>
      <c r="F49" s="58">
        <v>-15282</v>
      </c>
      <c r="G49" s="58">
        <v>118892</v>
      </c>
      <c r="H49" s="58">
        <v>144938</v>
      </c>
      <c r="I49" s="59">
        <f t="shared" ref="I49:R49" si="20">H49</f>
        <v>144938</v>
      </c>
      <c r="J49" s="59">
        <f t="shared" si="20"/>
        <v>144938</v>
      </c>
      <c r="K49" s="59">
        <f t="shared" si="20"/>
        <v>144938</v>
      </c>
      <c r="L49" s="59">
        <f t="shared" si="20"/>
        <v>144938</v>
      </c>
      <c r="M49" s="59">
        <f t="shared" si="20"/>
        <v>144938</v>
      </c>
      <c r="N49" s="59">
        <f t="shared" si="20"/>
        <v>144938</v>
      </c>
      <c r="O49" s="59">
        <f t="shared" si="20"/>
        <v>144938</v>
      </c>
      <c r="P49" s="59">
        <f t="shared" si="20"/>
        <v>144938</v>
      </c>
      <c r="Q49" s="59">
        <f t="shared" si="20"/>
        <v>144938</v>
      </c>
      <c r="R49" s="59">
        <f t="shared" si="20"/>
        <v>144938</v>
      </c>
      <c r="S49" s="3"/>
      <c r="T49" s="3"/>
    </row>
    <row r="50" spans="1:20" ht="13.5" customHeight="1">
      <c r="A50" s="3"/>
      <c r="B50" s="3"/>
      <c r="C50" s="35" t="s">
        <v>113</v>
      </c>
      <c r="D50" s="60">
        <v>127</v>
      </c>
      <c r="E50" s="60">
        <v>11</v>
      </c>
      <c r="F50" s="60">
        <v>4</v>
      </c>
      <c r="G50" s="60">
        <v>26</v>
      </c>
      <c r="H50" s="60">
        <v>15</v>
      </c>
      <c r="I50" s="61">
        <f t="shared" ref="I50:R50" si="21">H50</f>
        <v>15</v>
      </c>
      <c r="J50" s="61">
        <f t="shared" si="21"/>
        <v>15</v>
      </c>
      <c r="K50" s="61">
        <f t="shared" si="21"/>
        <v>15</v>
      </c>
      <c r="L50" s="61">
        <f t="shared" si="21"/>
        <v>15</v>
      </c>
      <c r="M50" s="61">
        <f t="shared" si="21"/>
        <v>15</v>
      </c>
      <c r="N50" s="61">
        <f t="shared" si="21"/>
        <v>15</v>
      </c>
      <c r="O50" s="61">
        <f t="shared" si="21"/>
        <v>15</v>
      </c>
      <c r="P50" s="61">
        <f t="shared" si="21"/>
        <v>15</v>
      </c>
      <c r="Q50" s="61">
        <f t="shared" si="21"/>
        <v>15</v>
      </c>
      <c r="R50" s="61">
        <f t="shared" si="21"/>
        <v>15</v>
      </c>
      <c r="S50" s="3"/>
      <c r="T50" s="3"/>
    </row>
    <row r="51" spans="1:20" ht="15" customHeight="1">
      <c r="A51" s="3"/>
      <c r="B51" s="3"/>
      <c r="C51" s="38" t="s">
        <v>114</v>
      </c>
      <c r="D51" s="58">
        <v>4845968</v>
      </c>
      <c r="E51" s="58">
        <v>5836065</v>
      </c>
      <c r="F51" s="58">
        <v>6094309</v>
      </c>
      <c r="G51" s="58">
        <v>6364333</v>
      </c>
      <c r="H51" s="58">
        <v>6903378</v>
      </c>
      <c r="I51" s="59">
        <f t="shared" ref="I51:R51" si="22">SUM(I46:I50)</f>
        <v>7197693.1325253639</v>
      </c>
      <c r="J51" s="59">
        <f t="shared" si="22"/>
        <v>7892229.7640782781</v>
      </c>
      <c r="K51" s="59">
        <f t="shared" si="22"/>
        <v>8783085.2983870395</v>
      </c>
      <c r="L51" s="59">
        <f t="shared" si="22"/>
        <v>9909041.463140389</v>
      </c>
      <c r="M51" s="59">
        <f t="shared" si="22"/>
        <v>11281249.332658108</v>
      </c>
      <c r="N51" s="59">
        <f t="shared" si="22"/>
        <v>12926152.763155062</v>
      </c>
      <c r="O51" s="59">
        <f t="shared" si="22"/>
        <v>14900413.198334424</v>
      </c>
      <c r="P51" s="59">
        <f t="shared" si="22"/>
        <v>17220519.615720585</v>
      </c>
      <c r="Q51" s="59">
        <f t="shared" si="22"/>
        <v>19925419.290768355</v>
      </c>
      <c r="R51" s="59">
        <f t="shared" si="22"/>
        <v>23058738.067251738</v>
      </c>
      <c r="S51" s="3"/>
      <c r="T51" s="3"/>
    </row>
    <row r="52" spans="1:20" ht="15" customHeight="1">
      <c r="A52" s="3"/>
      <c r="B52" s="3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3"/>
      <c r="T52" s="3"/>
    </row>
    <row r="53" spans="1:20" ht="15" customHeight="1">
      <c r="A53" s="3"/>
      <c r="B53" s="3"/>
      <c r="C53" s="38" t="s">
        <v>115</v>
      </c>
      <c r="D53" s="58">
        <v>7517744</v>
      </c>
      <c r="E53" s="58">
        <v>8632793</v>
      </c>
      <c r="F53" s="58">
        <v>9934057</v>
      </c>
      <c r="G53" s="58">
        <v>9907007</v>
      </c>
      <c r="H53" s="58">
        <v>10301282</v>
      </c>
      <c r="I53" s="59">
        <f t="shared" ref="I53:R53" si="23">I43+I51</f>
        <v>10363922.132525364</v>
      </c>
      <c r="J53" s="59">
        <f t="shared" si="23"/>
        <v>11116616.55030656</v>
      </c>
      <c r="K53" s="59">
        <f t="shared" si="23"/>
        <v>12071112.152214235</v>
      </c>
      <c r="L53" s="59">
        <f t="shared" si="23"/>
        <v>13266716.972342726</v>
      </c>
      <c r="M53" s="59">
        <f t="shared" si="23"/>
        <v>14715159.383006813</v>
      </c>
      <c r="N53" s="59">
        <f t="shared" si="23"/>
        <v>16443516.494402928</v>
      </c>
      <c r="O53" s="59">
        <f t="shared" si="23"/>
        <v>18509144.40930932</v>
      </c>
      <c r="P53" s="59">
        <f t="shared" si="23"/>
        <v>20929294.150655508</v>
      </c>
      <c r="Q53" s="59">
        <f t="shared" si="23"/>
        <v>23743748.991064027</v>
      </c>
      <c r="R53" s="59">
        <f t="shared" si="23"/>
        <v>26997051.930036873</v>
      </c>
      <c r="S53" s="3"/>
      <c r="T53" s="3"/>
    </row>
    <row r="54" spans="1:20" ht="15" customHeight="1">
      <c r="A54" s="3"/>
      <c r="B54" s="3"/>
      <c r="C54" s="3" t="s">
        <v>116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5" customHeight="1">
      <c r="A55" s="3"/>
      <c r="B55" s="3"/>
      <c r="C55" s="3" t="s">
        <v>117</v>
      </c>
      <c r="D55" s="3"/>
      <c r="E55" s="3"/>
      <c r="F55" s="3"/>
      <c r="G55" s="3"/>
      <c r="H55" s="3"/>
      <c r="I55" s="59">
        <v>368466</v>
      </c>
      <c r="J55" s="59">
        <v>379520</v>
      </c>
      <c r="K55" s="59">
        <v>390906</v>
      </c>
      <c r="L55" s="59">
        <v>402633</v>
      </c>
      <c r="M55" s="59">
        <v>414712</v>
      </c>
      <c r="N55" s="59">
        <v>427153</v>
      </c>
      <c r="O55" s="59">
        <v>439968</v>
      </c>
      <c r="P55" s="59">
        <v>453167</v>
      </c>
      <c r="Q55" s="59">
        <v>466762</v>
      </c>
      <c r="R55" s="59">
        <v>480765</v>
      </c>
      <c r="S55" s="3"/>
      <c r="T55" s="3"/>
    </row>
    <row r="56" spans="1:20" ht="15" customHeight="1">
      <c r="A56" s="3"/>
      <c r="B56" s="3"/>
      <c r="C56" s="3" t="s">
        <v>118</v>
      </c>
      <c r="D56" s="3"/>
      <c r="E56" s="3"/>
      <c r="F56" s="3"/>
      <c r="G56" s="3"/>
      <c r="H56" s="244">
        <v>447000</v>
      </c>
      <c r="I56" s="59">
        <f>CHOOSE(Cover!$C$17,'Balance Sheet'!H56+H56*Westinghouse!$B$22,'Balance Sheet'!H56+H56*Westinghouse!$C$22)</f>
        <v>491700</v>
      </c>
      <c r="J56" s="59">
        <f>CHOOSE(Cover!$C$17,'Balance Sheet'!I56+I56*Westinghouse!$B$22,'Balance Sheet'!I56+I56*Westinghouse!$C$22)</f>
        <v>540870</v>
      </c>
      <c r="K56" s="59">
        <f>CHOOSE(Cover!$C$17,'Balance Sheet'!J56+J56*Westinghouse!$B$22,'Balance Sheet'!J56+J56*Westinghouse!$C$22)</f>
        <v>594957</v>
      </c>
      <c r="L56" s="59">
        <f>CHOOSE(Cover!$C$17,'Balance Sheet'!K56+K56*Westinghouse!$B$22,'Balance Sheet'!K56+K56*Westinghouse!$C$22)</f>
        <v>654452.69999999995</v>
      </c>
      <c r="M56" s="59">
        <f>CHOOSE(Cover!$C$17,'Balance Sheet'!L56+L56*Westinghouse!$B$22,'Balance Sheet'!L56+L56*Westinghouse!$C$22)</f>
        <v>719897.97</v>
      </c>
      <c r="N56" s="59">
        <f>CHOOSE(Cover!$C$17,'Balance Sheet'!M56+M56*Westinghouse!$B$22,'Balance Sheet'!M56+M56*Westinghouse!$C$22)</f>
        <v>791887.76699999999</v>
      </c>
      <c r="O56" s="59">
        <f>CHOOSE(Cover!$C$17,'Balance Sheet'!N56+N56*Westinghouse!$B$22,'Balance Sheet'!N56+N56*Westinghouse!$C$22)</f>
        <v>871076.54370000004</v>
      </c>
      <c r="P56" s="59">
        <f>CHOOSE(Cover!$C$17,'Balance Sheet'!O56+O56*Westinghouse!$B$22,'Balance Sheet'!O56+O56*Westinghouse!$C$22)</f>
        <v>958184.19807000004</v>
      </c>
      <c r="Q56" s="59">
        <f>CHOOSE(Cover!$C$17,'Balance Sheet'!P56+P56*Westinghouse!$B$22,'Balance Sheet'!P56+P56*Westinghouse!$C$22)</f>
        <v>1054002.617877</v>
      </c>
      <c r="R56" s="59">
        <f>CHOOSE(Cover!$C$17,'Balance Sheet'!Q56+Q56*Westinghouse!$B$22,'Balance Sheet'!Q56+Q56*Westinghouse!$C$22)</f>
        <v>1159402.8796647</v>
      </c>
      <c r="S56" s="3"/>
      <c r="T56" s="3"/>
    </row>
    <row r="57" spans="1:20" ht="15" customHeight="1">
      <c r="A57" s="3"/>
      <c r="B57" s="3"/>
      <c r="C57" s="3" t="s">
        <v>119</v>
      </c>
      <c r="D57" s="3"/>
      <c r="E57" s="3"/>
      <c r="F57" s="3"/>
      <c r="G57" s="3"/>
      <c r="H57" s="3"/>
      <c r="I57" s="59">
        <v>0</v>
      </c>
      <c r="J57" s="59">
        <v>0</v>
      </c>
      <c r="K57" s="59">
        <v>0</v>
      </c>
      <c r="L57" s="59">
        <v>0</v>
      </c>
      <c r="M57" s="59">
        <v>0</v>
      </c>
      <c r="N57" s="59">
        <v>0</v>
      </c>
      <c r="O57" s="59">
        <v>0</v>
      </c>
      <c r="P57" s="59">
        <v>0</v>
      </c>
      <c r="Q57" s="59">
        <v>0</v>
      </c>
      <c r="R57" s="59">
        <v>0</v>
      </c>
      <c r="S57" s="3"/>
      <c r="T57" s="3"/>
    </row>
    <row r="58" spans="1:20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</sheetData>
  <pageMargins left="0.75" right="0.75" top="1" bottom="1" header="0.511811023622047" footer="0.511811023622047"/>
  <pageSetup paperSize="9" orientation="portrait" horizontalDpi="300" verticalDpi="300"/>
  <ignoredErrors>
    <ignoredError sqref="I48 J48:R4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T69"/>
  <sheetViews>
    <sheetView showGridLines="0" zoomScaleNormal="75" workbookViewId="0">
      <selection activeCell="I46" sqref="I46"/>
    </sheetView>
  </sheetViews>
  <sheetFormatPr baseColWidth="10" defaultColWidth="8.6640625" defaultRowHeight="15"/>
  <cols>
    <col min="2" max="2" width="58" customWidth="1"/>
    <col min="3" max="17" width="13.83203125" customWidth="1"/>
  </cols>
  <sheetData>
    <row r="1" spans="1:20" ht="1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20" ht="18" customHeight="1">
      <c r="A2" s="52"/>
      <c r="B2" s="2" t="s">
        <v>120</v>
      </c>
      <c r="C2" s="19"/>
      <c r="D2" s="19"/>
      <c r="E2" s="19"/>
      <c r="F2" s="19"/>
      <c r="G2" s="19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20" ht="13.5" customHeight="1">
      <c r="A3" s="52"/>
      <c r="B3" s="6" t="s">
        <v>22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20" ht="6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</row>
    <row r="5" spans="1:20" ht="18" customHeight="1">
      <c r="A5" s="52"/>
      <c r="B5" s="19"/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64" t="s">
        <v>28</v>
      </c>
      <c r="I5" s="64" t="s">
        <v>29</v>
      </c>
      <c r="J5" s="64" t="s">
        <v>30</v>
      </c>
      <c r="K5" s="64" t="s">
        <v>31</v>
      </c>
      <c r="L5" s="64" t="s">
        <v>32</v>
      </c>
      <c r="M5" s="64" t="s">
        <v>33</v>
      </c>
      <c r="N5" s="64" t="s">
        <v>34</v>
      </c>
      <c r="O5" s="64" t="s">
        <v>35</v>
      </c>
      <c r="P5" s="64" t="s">
        <v>36</v>
      </c>
      <c r="Q5" s="64" t="s">
        <v>37</v>
      </c>
      <c r="R5" s="52"/>
    </row>
    <row r="6" spans="1:20" ht="4.5" customHeight="1">
      <c r="A6" s="52"/>
      <c r="B6" s="19"/>
      <c r="C6" s="23"/>
      <c r="D6" s="23"/>
      <c r="E6" s="23"/>
      <c r="F6" s="23"/>
      <c r="G6" s="23"/>
      <c r="H6" s="65"/>
      <c r="I6" s="65"/>
      <c r="J6" s="65"/>
      <c r="K6" s="65"/>
      <c r="L6" s="65"/>
      <c r="M6" s="65"/>
      <c r="N6" s="65"/>
      <c r="O6" s="65"/>
      <c r="P6" s="65"/>
      <c r="Q6" s="65"/>
      <c r="R6" s="52"/>
    </row>
    <row r="7" spans="1:20" ht="15" customHeight="1">
      <c r="A7" s="52"/>
      <c r="B7" s="42" t="s">
        <v>121</v>
      </c>
      <c r="C7" s="57"/>
      <c r="D7" s="57"/>
      <c r="E7" s="57"/>
      <c r="F7" s="57"/>
      <c r="G7" s="57"/>
      <c r="H7" s="66"/>
      <c r="I7" s="66"/>
      <c r="J7" s="66"/>
      <c r="K7" s="66"/>
      <c r="L7" s="66"/>
      <c r="M7" s="66"/>
      <c r="N7" s="66"/>
      <c r="O7" s="66"/>
      <c r="P7" s="66"/>
      <c r="Q7" s="66"/>
      <c r="R7" s="52"/>
    </row>
    <row r="8" spans="1:20" ht="15" customHeight="1">
      <c r="A8" s="52"/>
      <c r="B8" s="32" t="s">
        <v>122</v>
      </c>
      <c r="C8" s="58">
        <v>-102654</v>
      </c>
      <c r="D8" s="58">
        <v>89264</v>
      </c>
      <c r="E8" s="58">
        <v>360816</v>
      </c>
      <c r="F8" s="58">
        <v>171842</v>
      </c>
      <c r="G8" s="58">
        <v>589542</v>
      </c>
      <c r="H8" s="67">
        <f>'2026 Interim'!E82*2</f>
        <v>311922</v>
      </c>
      <c r="I8" s="67">
        <f>'Income Statement'!J44</f>
        <v>694536.63155291404</v>
      </c>
      <c r="J8" s="67">
        <f>'Income Statement'!K44</f>
        <v>890855.53430876043</v>
      </c>
      <c r="K8" s="67">
        <f>'Income Statement'!L44</f>
        <v>1125956.1647533509</v>
      </c>
      <c r="L8" s="67">
        <f>'Income Statement'!M44</f>
        <v>1372207.8695177196</v>
      </c>
      <c r="M8" s="67">
        <f>'Income Statement'!N44</f>
        <v>1644903.4304969544</v>
      </c>
      <c r="N8" s="67">
        <f>'Income Statement'!O44</f>
        <v>1974260.4351793618</v>
      </c>
      <c r="O8" s="67">
        <f>'Income Statement'!P44</f>
        <v>2320106.4173861593</v>
      </c>
      <c r="P8" s="67">
        <f>'Income Statement'!Q44</f>
        <v>2704899.6750477701</v>
      </c>
      <c r="Q8" s="67">
        <f>'Income Statement'!R44</f>
        <v>3133318.776483384</v>
      </c>
      <c r="R8" s="52"/>
    </row>
    <row r="9" spans="1:20" ht="15" customHeight="1">
      <c r="A9" s="52"/>
      <c r="B9" s="2" t="s">
        <v>123</v>
      </c>
      <c r="C9" s="19"/>
      <c r="D9" s="19"/>
      <c r="E9" s="19"/>
      <c r="F9" s="19"/>
      <c r="G9" s="19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</row>
    <row r="10" spans="1:20" ht="15" customHeight="1">
      <c r="A10" s="52"/>
      <c r="B10" s="32" t="s">
        <v>124</v>
      </c>
      <c r="C10" s="58">
        <v>190415</v>
      </c>
      <c r="D10" s="58">
        <v>177376</v>
      </c>
      <c r="E10" s="58">
        <v>220324</v>
      </c>
      <c r="F10" s="58">
        <v>280702</v>
      </c>
      <c r="G10" s="58">
        <v>293094</v>
      </c>
      <c r="H10" s="67">
        <f>'2026 Interim'!E83*2</f>
        <v>278514</v>
      </c>
      <c r="I10" s="67">
        <f>'Income Statement'!J18</f>
        <v>290809.4075425184</v>
      </c>
      <c r="J10" s="67">
        <f>'Income Statement'!K18</f>
        <v>303647.6138191637</v>
      </c>
      <c r="K10" s="67">
        <f>'Income Statement'!L18</f>
        <v>317052.58147328469</v>
      </c>
      <c r="L10" s="67">
        <f>'Income Statement'!M18</f>
        <v>331049.33101413923</v>
      </c>
      <c r="M10" s="67">
        <f>'Income Statement'!N18</f>
        <v>345663.98751793051</v>
      </c>
      <c r="N10" s="67">
        <f>'Income Statement'!O18</f>
        <v>360923.82939052919</v>
      </c>
      <c r="O10" s="67">
        <f>'Income Statement'!P18</f>
        <v>376857.33928289701</v>
      </c>
      <c r="P10" s="67">
        <f>'Income Statement'!Q18</f>
        <v>393494.25725424621</v>
      </c>
      <c r="Q10" s="67">
        <f>'Income Statement'!R18</f>
        <v>410865.63628216414</v>
      </c>
      <c r="R10" s="52"/>
    </row>
    <row r="11" spans="1:20" ht="15" customHeight="1">
      <c r="A11" s="52"/>
      <c r="B11" s="32" t="s">
        <v>125</v>
      </c>
      <c r="C11" s="58">
        <v>608</v>
      </c>
      <c r="D11" s="58">
        <v>43528</v>
      </c>
      <c r="E11" s="58">
        <v>-21468</v>
      </c>
      <c r="F11" s="58">
        <v>61180</v>
      </c>
      <c r="G11" s="58">
        <v>-24747</v>
      </c>
      <c r="H11" s="67">
        <f>'2026 Interim'!E84*2</f>
        <v>-12252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52"/>
    </row>
    <row r="12" spans="1:20" ht="15" customHeight="1">
      <c r="A12" s="52"/>
      <c r="B12" s="32" t="s">
        <v>126</v>
      </c>
      <c r="C12" s="58">
        <v>13771</v>
      </c>
      <c r="D12" s="58">
        <v>82636</v>
      </c>
      <c r="E12" s="58">
        <v>-61658</v>
      </c>
      <c r="F12" s="58">
        <v>149629</v>
      </c>
      <c r="G12" s="58">
        <v>-145751</v>
      </c>
      <c r="H12" s="67">
        <f>'2026 Interim'!E85*2</f>
        <v>194904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52"/>
    </row>
    <row r="13" spans="1:20" ht="15" customHeight="1">
      <c r="A13" s="52"/>
      <c r="B13" s="32" t="s">
        <v>127</v>
      </c>
      <c r="C13" s="58">
        <v>4536</v>
      </c>
      <c r="D13" s="58">
        <v>3318</v>
      </c>
      <c r="E13" s="58">
        <v>3692</v>
      </c>
      <c r="F13" s="58">
        <v>6775</v>
      </c>
      <c r="G13" s="58">
        <v>9656</v>
      </c>
      <c r="H13" s="67">
        <f>'2026 Interim'!E86*2</f>
        <v>11594</v>
      </c>
      <c r="I13" s="68">
        <v>12000</v>
      </c>
      <c r="J13" s="68">
        <v>12000</v>
      </c>
      <c r="K13" s="68">
        <v>12000</v>
      </c>
      <c r="L13" s="68">
        <v>12000</v>
      </c>
      <c r="M13" s="68">
        <v>12000</v>
      </c>
      <c r="N13" s="68">
        <v>12000</v>
      </c>
      <c r="O13" s="68">
        <v>12000</v>
      </c>
      <c r="P13" s="68">
        <v>12000</v>
      </c>
      <c r="Q13" s="68">
        <v>12000</v>
      </c>
      <c r="R13" s="52"/>
    </row>
    <row r="14" spans="1:20" ht="15" customHeight="1">
      <c r="A14" s="52"/>
      <c r="B14" s="32" t="s">
        <v>55</v>
      </c>
      <c r="C14" s="58">
        <v>3803</v>
      </c>
      <c r="D14" s="58">
        <v>514</v>
      </c>
      <c r="E14" s="58">
        <v>2188</v>
      </c>
      <c r="F14" s="58">
        <v>1042</v>
      </c>
      <c r="G14" s="58">
        <v>3117</v>
      </c>
      <c r="H14" s="67">
        <f>'2026 Interim'!E87*2</f>
        <v>1986</v>
      </c>
      <c r="I14" s="67">
        <f>'Income Statement'!J28</f>
        <v>3935.4048138953663</v>
      </c>
      <c r="J14" s="67">
        <f>'Income Statement'!K28</f>
        <v>4487.6793756657353</v>
      </c>
      <c r="K14" s="67">
        <f>'Income Statement'!L28</f>
        <v>5096.4597629676573</v>
      </c>
      <c r="L14" s="67">
        <f>'Income Statement'!M28</f>
        <v>5767.3800026803156</v>
      </c>
      <c r="M14" s="67">
        <f>'Income Statement'!N28</f>
        <v>6506.6908255137441</v>
      </c>
      <c r="N14" s="67">
        <f>'Income Statement'!O28</f>
        <v>7321.3367332948173</v>
      </c>
      <c r="O14" s="67">
        <f>'Income Statement'!P28</f>
        <v>8219.0437934073816</v>
      </c>
      <c r="P14" s="67">
        <f>'Income Statement'!Q28</f>
        <v>9208.4197513024774</v>
      </c>
      <c r="Q14" s="67">
        <f>'Income Statement'!R28</f>
        <v>10299.068295281382</v>
      </c>
      <c r="R14" s="52"/>
    </row>
    <row r="15" spans="1:20" ht="15" customHeight="1">
      <c r="A15" s="52"/>
      <c r="B15" s="32" t="s">
        <v>58</v>
      </c>
      <c r="C15" s="58">
        <v>76612</v>
      </c>
      <c r="D15" s="58">
        <v>85728</v>
      </c>
      <c r="E15" s="58">
        <v>115869</v>
      </c>
      <c r="F15" s="58">
        <v>147171</v>
      </c>
      <c r="G15" s="58">
        <v>115175</v>
      </c>
      <c r="H15" s="67">
        <f>'2026 Interim'!E88*2</f>
        <v>115002</v>
      </c>
      <c r="I15" s="67">
        <f>-'Income Statement'!J33</f>
        <v>108101.87999999999</v>
      </c>
      <c r="J15" s="67">
        <f>-'Income Statement'!K33</f>
        <v>101615.76719999999</v>
      </c>
      <c r="K15" s="67">
        <f>-'Income Statement'!L33</f>
        <v>95518.82116799998</v>
      </c>
      <c r="L15" s="67">
        <f>-'Income Statement'!M33</f>
        <v>89787.691897919984</v>
      </c>
      <c r="M15" s="67">
        <f>-'Income Statement'!N33</f>
        <v>84400.430384044783</v>
      </c>
      <c r="N15" s="67">
        <f>-'Income Statement'!O33</f>
        <v>79336.404561002098</v>
      </c>
      <c r="O15" s="67">
        <f>-'Income Statement'!P33</f>
        <v>74576.220287341974</v>
      </c>
      <c r="P15" s="67">
        <f>-'Income Statement'!Q33</f>
        <v>70101.647070101448</v>
      </c>
      <c r="Q15" s="67">
        <f>-'Income Statement'!R33</f>
        <v>65895.548245895363</v>
      </c>
      <c r="R15" s="52"/>
    </row>
    <row r="16" spans="1:20" ht="15" customHeight="1">
      <c r="A16" s="52"/>
      <c r="B16" s="32" t="s">
        <v>60</v>
      </c>
      <c r="C16" s="58">
        <v>-6804</v>
      </c>
      <c r="D16" s="58">
        <v>-37499</v>
      </c>
      <c r="E16" s="58">
        <v>-111670</v>
      </c>
      <c r="F16" s="58">
        <v>-21228</v>
      </c>
      <c r="G16" s="58">
        <v>-23172</v>
      </c>
      <c r="H16" s="67">
        <f>'2026 Interim'!E89*2</f>
        <v>-35698</v>
      </c>
      <c r="I16" s="67">
        <f>-'Income Statement'!J35</f>
        <v>0</v>
      </c>
      <c r="J16" s="67">
        <f>-'Income Statement'!K35</f>
        <v>0</v>
      </c>
      <c r="K16" s="67">
        <f>-'Income Statement'!L35</f>
        <v>0</v>
      </c>
      <c r="L16" s="67">
        <f>-'Income Statement'!M35</f>
        <v>0</v>
      </c>
      <c r="M16" s="67">
        <f>-'Income Statement'!N35</f>
        <v>0</v>
      </c>
      <c r="N16" s="67">
        <f>-'Income Statement'!O35</f>
        <v>0</v>
      </c>
      <c r="O16" s="67">
        <f>-'Income Statement'!P35</f>
        <v>0</v>
      </c>
      <c r="P16" s="67">
        <f>-'Income Statement'!Q35</f>
        <v>0</v>
      </c>
      <c r="Q16" s="67">
        <f>-'Income Statement'!R35</f>
        <v>0</v>
      </c>
      <c r="R16" s="52"/>
      <c r="T16" s="63"/>
    </row>
    <row r="17" spans="1:18" ht="15" customHeight="1">
      <c r="A17" s="52"/>
      <c r="B17" s="32" t="s">
        <v>128</v>
      </c>
      <c r="C17" s="58">
        <v>-68283</v>
      </c>
      <c r="D17" s="58">
        <v>-93988</v>
      </c>
      <c r="E17" s="58">
        <v>-154462</v>
      </c>
      <c r="F17" s="58">
        <v>10844</v>
      </c>
      <c r="G17" s="58">
        <v>-216386</v>
      </c>
      <c r="H17" s="67">
        <f>'2026 Interim'!E90*2</f>
        <v>-148952</v>
      </c>
      <c r="I17" s="67">
        <f>-'Income Statement'!J36</f>
        <v>-163847.20000000001</v>
      </c>
      <c r="J17" s="67">
        <f>-'Income Statement'!K36</f>
        <v>-180231.92</v>
      </c>
      <c r="K17" s="67">
        <f>-'Income Statement'!L36</f>
        <v>-224028.27656</v>
      </c>
      <c r="L17" s="67">
        <f>-'Income Statement'!M36</f>
        <v>-253151.9525128</v>
      </c>
      <c r="M17" s="67">
        <f>-'Income Statement'!N36</f>
        <v>-286061.70633946394</v>
      </c>
      <c r="N17" s="67">
        <f>-'Income Statement'!O36</f>
        <v>-361998.08656775794</v>
      </c>
      <c r="O17" s="67">
        <f>-'Income Statement'!P36</f>
        <v>-419917.7804185992</v>
      </c>
      <c r="P17" s="67">
        <f>-'Income Statement'!Q36</f>
        <v>-487104.62528557499</v>
      </c>
      <c r="Q17" s="67">
        <f>-'Income Statement'!R36</f>
        <v>-565041.36533126701</v>
      </c>
      <c r="R17" s="52"/>
    </row>
    <row r="18" spans="1:18" ht="15" customHeight="1">
      <c r="A18" s="52"/>
      <c r="B18" s="32" t="s">
        <v>63</v>
      </c>
      <c r="C18" s="58">
        <v>-446</v>
      </c>
      <c r="D18" s="58">
        <v>-96934</v>
      </c>
      <c r="E18" s="58">
        <v>-16238</v>
      </c>
      <c r="F18" s="58">
        <v>-307</v>
      </c>
      <c r="G18" s="58">
        <v>-1460</v>
      </c>
      <c r="H18" s="67">
        <f>'2026 Interim'!E93*2</f>
        <v>-1520</v>
      </c>
      <c r="I18" s="67">
        <f>-'Income Statement'!J38</f>
        <v>0</v>
      </c>
      <c r="J18" s="67">
        <f>-'Income Statement'!K38</f>
        <v>0</v>
      </c>
      <c r="K18" s="67">
        <f>-'Income Statement'!L38</f>
        <v>0</v>
      </c>
      <c r="L18" s="67">
        <f>-'Income Statement'!M38</f>
        <v>0</v>
      </c>
      <c r="M18" s="67">
        <f>-'Income Statement'!N38</f>
        <v>0</v>
      </c>
      <c r="N18" s="67">
        <f>-'Income Statement'!O38</f>
        <v>0</v>
      </c>
      <c r="O18" s="67">
        <f>-'Income Statement'!P38</f>
        <v>0</v>
      </c>
      <c r="P18" s="67">
        <f>-'Income Statement'!Q38</f>
        <v>0</v>
      </c>
      <c r="Q18" s="67">
        <f>-'Income Statement'!R38</f>
        <v>0</v>
      </c>
      <c r="R18" s="52"/>
    </row>
    <row r="19" spans="1:18" ht="15" customHeight="1">
      <c r="A19" s="52"/>
      <c r="B19" s="32" t="s">
        <v>129</v>
      </c>
      <c r="C19" s="58">
        <v>0</v>
      </c>
      <c r="D19" s="58">
        <v>0</v>
      </c>
      <c r="E19" s="58">
        <v>0</v>
      </c>
      <c r="F19" s="58">
        <v>-65517</v>
      </c>
      <c r="G19" s="58">
        <v>61740</v>
      </c>
      <c r="H19" s="67">
        <f>'2026 Interim'!E91*2</f>
        <v>-54620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52"/>
    </row>
    <row r="20" spans="1:18" ht="15" customHeight="1">
      <c r="A20" s="52"/>
      <c r="B20" s="32" t="s">
        <v>54</v>
      </c>
      <c r="C20" s="58">
        <v>-8407</v>
      </c>
      <c r="D20" s="58">
        <v>22944</v>
      </c>
      <c r="E20" s="58">
        <v>-7509</v>
      </c>
      <c r="F20" s="58">
        <v>-37683</v>
      </c>
      <c r="G20" s="58">
        <v>-28333</v>
      </c>
      <c r="H20" s="67">
        <f>'2026 Interim'!E92*2</f>
        <v>7592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52"/>
    </row>
    <row r="21" spans="1:18" ht="15" customHeight="1">
      <c r="A21" s="52"/>
      <c r="B21" s="32" t="s">
        <v>65</v>
      </c>
      <c r="C21" s="58">
        <v>-1201</v>
      </c>
      <c r="D21" s="58">
        <v>-4469</v>
      </c>
      <c r="E21" s="58">
        <v>126337</v>
      </c>
      <c r="F21" s="58">
        <v>84874</v>
      </c>
      <c r="G21" s="58">
        <v>187719</v>
      </c>
      <c r="H21" s="67">
        <f>'2026 Interim'!E94*2</f>
        <v>105736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52"/>
    </row>
    <row r="22" spans="1:18" ht="15" customHeight="1">
      <c r="A22" s="52"/>
      <c r="B22" s="32"/>
      <c r="C22" s="58"/>
      <c r="D22" s="58"/>
      <c r="E22" s="58"/>
      <c r="F22" s="58"/>
      <c r="G22" s="58"/>
      <c r="H22" s="67"/>
      <c r="I22" s="68"/>
      <c r="J22" s="68"/>
      <c r="K22" s="68"/>
      <c r="L22" s="68"/>
      <c r="M22" s="68"/>
      <c r="N22" s="68"/>
      <c r="O22" s="68"/>
      <c r="P22" s="68"/>
      <c r="Q22" s="68"/>
      <c r="R22" s="52"/>
    </row>
    <row r="23" spans="1:18" ht="15" customHeight="1">
      <c r="A23" s="52"/>
      <c r="B23" s="2" t="s">
        <v>130</v>
      </c>
      <c r="C23" s="19"/>
      <c r="D23" s="19"/>
      <c r="E23" s="19"/>
      <c r="F23" s="19"/>
      <c r="G23" s="19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</row>
    <row r="24" spans="1:18" ht="15" customHeight="1">
      <c r="A24" s="52"/>
      <c r="B24" s="69" t="s">
        <v>131</v>
      </c>
      <c r="C24" s="58">
        <v>9374</v>
      </c>
      <c r="D24" s="58">
        <v>35443</v>
      </c>
      <c r="E24" s="58">
        <v>113797</v>
      </c>
      <c r="F24" s="58">
        <v>21228</v>
      </c>
      <c r="G24" s="58">
        <v>23172</v>
      </c>
      <c r="H24" s="67">
        <f>'2026 Interim'!E95*2</f>
        <v>36560</v>
      </c>
      <c r="I24" s="67">
        <f>'Income Statement'!J35</f>
        <v>0</v>
      </c>
      <c r="J24" s="67">
        <f>'Income Statement'!K35</f>
        <v>0</v>
      </c>
      <c r="K24" s="67">
        <f>'Income Statement'!L35</f>
        <v>0</v>
      </c>
      <c r="L24" s="67">
        <f>'Income Statement'!M35</f>
        <v>0</v>
      </c>
      <c r="M24" s="67">
        <f>'Income Statement'!N35</f>
        <v>0</v>
      </c>
      <c r="N24" s="67">
        <f>'Income Statement'!O35</f>
        <v>0</v>
      </c>
      <c r="O24" s="67">
        <f>'Income Statement'!P35</f>
        <v>0</v>
      </c>
      <c r="P24" s="67">
        <f>'Income Statement'!Q35</f>
        <v>0</v>
      </c>
      <c r="Q24" s="67">
        <f>'Income Statement'!R35</f>
        <v>0</v>
      </c>
      <c r="R24" s="52"/>
    </row>
    <row r="25" spans="1:18" ht="15" customHeight="1">
      <c r="A25" s="52"/>
      <c r="B25" s="32" t="s">
        <v>132</v>
      </c>
      <c r="C25" s="58">
        <v>9583</v>
      </c>
      <c r="D25" s="58">
        <v>-1521</v>
      </c>
      <c r="E25" s="58">
        <v>70372</v>
      </c>
      <c r="F25" s="58">
        <v>-38486</v>
      </c>
      <c r="G25" s="58">
        <v>-90206</v>
      </c>
      <c r="H25" s="67">
        <f>'2026 Interim'!E96*2</f>
        <v>-473816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52"/>
    </row>
    <row r="26" spans="1:18" ht="15" customHeight="1">
      <c r="A26" s="52"/>
      <c r="B26" s="32" t="s">
        <v>133</v>
      </c>
      <c r="C26" s="58">
        <v>50128</v>
      </c>
      <c r="D26" s="58">
        <v>117698</v>
      </c>
      <c r="E26" s="58">
        <v>113642</v>
      </c>
      <c r="F26" s="58">
        <v>185447</v>
      </c>
      <c r="G26" s="58">
        <v>446749</v>
      </c>
      <c r="H26" s="67">
        <f>'2026 Interim'!E97*2</f>
        <v>492118</v>
      </c>
      <c r="I26" s="67">
        <f>'Balance Sheet'!J56</f>
        <v>540870</v>
      </c>
      <c r="J26" s="67">
        <f>'Balance Sheet'!K56</f>
        <v>594957</v>
      </c>
      <c r="K26" s="67">
        <f>'Balance Sheet'!L56</f>
        <v>654452.69999999995</v>
      </c>
      <c r="L26" s="67">
        <f>'Balance Sheet'!M56</f>
        <v>719897.97</v>
      </c>
      <c r="M26" s="67">
        <f>'Balance Sheet'!N56</f>
        <v>791887.76699999999</v>
      </c>
      <c r="N26" s="67">
        <f>'Balance Sheet'!O56</f>
        <v>871076.54370000004</v>
      </c>
      <c r="O26" s="67">
        <f>'Balance Sheet'!P56</f>
        <v>958184.19807000004</v>
      </c>
      <c r="P26" s="67">
        <f>'Balance Sheet'!Q56</f>
        <v>1054002.617877</v>
      </c>
      <c r="Q26" s="67">
        <f>'Balance Sheet'!R56</f>
        <v>1159402.8796647</v>
      </c>
      <c r="R26" s="52"/>
    </row>
    <row r="27" spans="1:18" ht="15" customHeight="1">
      <c r="A27" s="52"/>
      <c r="B27" s="32" t="s">
        <v>134</v>
      </c>
      <c r="C27" s="58">
        <v>287253</v>
      </c>
      <c r="D27" s="58">
        <v>-119431</v>
      </c>
      <c r="E27" s="58">
        <v>-65896</v>
      </c>
      <c r="F27" s="58">
        <v>-52225</v>
      </c>
      <c r="G27" s="58">
        <v>208523</v>
      </c>
      <c r="H27" s="67">
        <f>('2026 Interim'!E98+'2026 Interim'!E99)*2</f>
        <v>-611556</v>
      </c>
      <c r="I27" s="67">
        <f>-('Balance Sheet'!J11-'Balance Sheet'!I11)-('Balance Sheet'!J13-'Balance Sheet'!I13)-('Balance Sheet'!J14-'Balance Sheet'!I14)+('Balance Sheet'!J30-'Balance Sheet'!I30)</f>
        <v>-101180.37933539954</v>
      </c>
      <c r="J27" s="67">
        <f>-('Balance Sheet'!K11-'Balance Sheet'!J11)-('Balance Sheet'!K13-'Balance Sheet'!J13)-('Balance Sheet'!K14-'Balance Sheet'!J14)+('Balance Sheet'!K30-'Balance Sheet'!J30)</f>
        <v>-100983.03240374566</v>
      </c>
      <c r="K27" s="67">
        <f>-('Balance Sheet'!L11-'Balance Sheet'!K11)-('Balance Sheet'!L13-'Balance Sheet'!K13)-('Balance Sheet'!L14-'Balance Sheet'!K14)+('Balance Sheet'!L30-'Balance Sheet'!K30)</f>
        <v>-111189.40239965491</v>
      </c>
      <c r="L27" s="67">
        <f>-('Balance Sheet'!M11-'Balance Sheet'!L11)-('Balance Sheet'!M13-'Balance Sheet'!L13)-('Balance Sheet'!M14-'Balance Sheet'!L14)+('Balance Sheet'!M30-'Balance Sheet'!L30)</f>
        <v>-122407.96894423454</v>
      </c>
      <c r="M27" s="67">
        <f>-('Balance Sheet'!N11-'Balance Sheet'!M11)-('Balance Sheet'!N13-'Balance Sheet'!M13)-('Balance Sheet'!N14-'Balance Sheet'!M14)+('Balance Sheet'!N30-'Balance Sheet'!M30)</f>
        <v>-134747.71880913759</v>
      </c>
      <c r="N27" s="67">
        <f>-('Balance Sheet'!O11-'Balance Sheet'!N11)-('Balance Sheet'!O13-'Balance Sheet'!N13)-('Balance Sheet'!O14-'Balance Sheet'!N14)+('Balance Sheet'!O30-'Balance Sheet'!N30)</f>
        <v>-148330.87257707625</v>
      </c>
      <c r="O27" s="67">
        <f>-('Balance Sheet'!P11-'Balance Sheet'!O11)-('Balance Sheet'!P13-'Balance Sheet'!O13)-('Balance Sheet'!P14-'Balance Sheet'!O14)+('Balance Sheet'!P30-'Balance Sheet'!O30)</f>
        <v>-163294.67009751167</v>
      </c>
      <c r="P27" s="67">
        <f>-('Balance Sheet'!Q11-'Balance Sheet'!P11)-('Balance Sheet'!Q13-'Balance Sheet'!P13)-('Balance Sheet'!Q14-'Balance Sheet'!P14)+('Balance Sheet'!Q30-'Balance Sheet'!P30)</f>
        <v>-179793.41402550432</v>
      </c>
      <c r="Q27" s="67">
        <f>-('Balance Sheet'!R11-'Balance Sheet'!Q11)-('Balance Sheet'!R13-'Balance Sheet'!Q13)-('Balance Sheet'!R14-'Balance Sheet'!Q14)+('Balance Sheet'!R30-'Balance Sheet'!Q30)</f>
        <v>-198000.81019553076</v>
      </c>
      <c r="R27" s="52"/>
    </row>
    <row r="28" spans="1:18" ht="15" customHeight="1">
      <c r="A28" s="52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2"/>
    </row>
    <row r="29" spans="1:18" ht="15" customHeight="1">
      <c r="A29" s="52"/>
      <c r="B29" s="38" t="s">
        <v>135</v>
      </c>
      <c r="C29" s="58">
        <v>458288</v>
      </c>
      <c r="D29" s="58">
        <v>304607</v>
      </c>
      <c r="E29" s="58">
        <v>688136</v>
      </c>
      <c r="F29" s="58">
        <v>905288</v>
      </c>
      <c r="G29" s="58">
        <v>1408432</v>
      </c>
      <c r="H29" s="67">
        <f>'Cash Flow'!H8+'Cash Flow'!H10+'Cash Flow'!H11+'Cash Flow'!H12+'Cash Flow'!H13+'Cash Flow'!H14+'Cash Flow'!H15+'Cash Flow'!H16+'Cash Flow'!H17+'Cash Flow'!H18+'Cash Flow'!H19+'Cash Flow'!H20+'Cash Flow'!H21+'Cash Flow'!H24+'Cash Flow'!H25+'Cash Flow'!H26+'Cash Flow'!H27</f>
        <v>217514</v>
      </c>
      <c r="I29" s="67">
        <f>'Cash Flow'!I8+'Cash Flow'!I10+'Cash Flow'!I11+'Cash Flow'!I12+'Cash Flow'!I13+'Cash Flow'!I14+'Cash Flow'!I15+'Cash Flow'!I16+'Cash Flow'!I17+'Cash Flow'!I18+'Cash Flow'!I19+'Cash Flow'!I20+'Cash Flow'!I21+'Cash Flow'!I24+'Cash Flow'!I25+'Cash Flow'!I26+'Cash Flow'!I27</f>
        <v>1385225.7445739284</v>
      </c>
      <c r="J29" s="67">
        <f>'Cash Flow'!J8+'Cash Flow'!J10+'Cash Flow'!J11+'Cash Flow'!J12+'Cash Flow'!J13+'Cash Flow'!J14+'Cash Flow'!J15+'Cash Flow'!J16+'Cash Flow'!J17+'Cash Flow'!J18+'Cash Flow'!J19+'Cash Flow'!J20+'Cash Flow'!J21+'Cash Flow'!J24+'Cash Flow'!J25+'Cash Flow'!J26+'Cash Flow'!J27</f>
        <v>1626348.6422998442</v>
      </c>
      <c r="K29" s="67">
        <f>'Cash Flow'!K8+'Cash Flow'!K10+'Cash Flow'!K11+'Cash Flow'!K12+'Cash Flow'!K13+'Cash Flow'!K14+'Cash Flow'!K15+'Cash Flow'!K16+'Cash Flow'!K17+'Cash Flow'!K18+'Cash Flow'!K19+'Cash Flow'!K20+'Cash Flow'!K21+'Cash Flow'!K24+'Cash Flow'!K25+'Cash Flow'!K26+'Cash Flow'!K27</f>
        <v>1874859.0481979481</v>
      </c>
      <c r="L29" s="67">
        <f>'Cash Flow'!L8+'Cash Flow'!L10+'Cash Flow'!L11+'Cash Flow'!L12+'Cash Flow'!L13+'Cash Flow'!L14+'Cash Flow'!L15+'Cash Flow'!L16+'Cash Flow'!L17+'Cash Flow'!L18+'Cash Flow'!L19+'Cash Flow'!L20+'Cash Flow'!L21+'Cash Flow'!L24+'Cash Flow'!L25+'Cash Flow'!L26+'Cash Flow'!L27</f>
        <v>2155150.3209754247</v>
      </c>
      <c r="M29" s="67">
        <f>'Cash Flow'!M8+'Cash Flow'!M10+'Cash Flow'!M11+'Cash Flow'!M12+'Cash Flow'!M13+'Cash Flow'!M14+'Cash Flow'!M15+'Cash Flow'!M16+'Cash Flow'!M17+'Cash Flow'!M18+'Cash Flow'!M19+'Cash Flow'!M20+'Cash Flow'!M21+'Cash Flow'!M24+'Cash Flow'!M25+'Cash Flow'!M26+'Cash Flow'!M27</f>
        <v>2464552.8810758418</v>
      </c>
      <c r="N29" s="67">
        <f>'Cash Flow'!N8+'Cash Flow'!N10+'Cash Flow'!N11+'Cash Flow'!N12+'Cash Flow'!N13+'Cash Flow'!N14+'Cash Flow'!N15+'Cash Flow'!N16+'Cash Flow'!N17+'Cash Flow'!N18+'Cash Flow'!N19+'Cash Flow'!N20+'Cash Flow'!N21+'Cash Flow'!N24+'Cash Flow'!N25+'Cash Flow'!N26+'Cash Flow'!N27</f>
        <v>2794589.5904193539</v>
      </c>
      <c r="O29" s="67">
        <f>'Cash Flow'!O8+'Cash Flow'!O10+'Cash Flow'!O11+'Cash Flow'!O12+'Cash Flow'!O13+'Cash Flow'!O14+'Cash Flow'!O15+'Cash Flow'!O16+'Cash Flow'!O17+'Cash Flow'!O18+'Cash Flow'!O19+'Cash Flow'!O20+'Cash Flow'!O21+'Cash Flow'!O24+'Cash Flow'!O25+'Cash Flow'!O26+'Cash Flow'!O27</f>
        <v>3166730.7683036947</v>
      </c>
      <c r="P29" s="67">
        <f>'Cash Flow'!P8+'Cash Flow'!P10+'Cash Flow'!P11+'Cash Flow'!P12+'Cash Flow'!P13+'Cash Flow'!P14+'Cash Flow'!P15+'Cash Flow'!P16+'Cash Flow'!P17+'Cash Flow'!P18+'Cash Flow'!P19+'Cash Flow'!P20+'Cash Flow'!P21+'Cash Flow'!P24+'Cash Flow'!P25+'Cash Flow'!P26+'Cash Flow'!P27</f>
        <v>3576808.5776893408</v>
      </c>
      <c r="Q29" s="67">
        <f>'Cash Flow'!Q8+'Cash Flow'!Q10+'Cash Flow'!Q11+'Cash Flow'!Q12+'Cash Flow'!Q13+'Cash Flow'!Q14+'Cash Flow'!Q15+'Cash Flow'!Q16+'Cash Flow'!Q17+'Cash Flow'!Q18+'Cash Flow'!Q19+'Cash Flow'!Q20+'Cash Flow'!Q21+'Cash Flow'!Q24+'Cash Flow'!Q25+'Cash Flow'!Q26+'Cash Flow'!Q27</f>
        <v>4028739.7334446264</v>
      </c>
      <c r="R29" s="52"/>
    </row>
    <row r="30" spans="1:18" ht="1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spans="1:18" ht="15" customHeight="1">
      <c r="A31" s="52"/>
      <c r="B31" s="42" t="s">
        <v>136</v>
      </c>
      <c r="C31" s="57"/>
      <c r="D31" s="57"/>
      <c r="E31" s="57"/>
      <c r="F31" s="57"/>
      <c r="G31" s="57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52"/>
    </row>
    <row r="32" spans="1:18" ht="15" customHeight="1">
      <c r="A32" s="52"/>
      <c r="B32" s="32" t="s">
        <v>137</v>
      </c>
      <c r="C32" s="58">
        <v>-98784</v>
      </c>
      <c r="D32" s="58">
        <v>-143448</v>
      </c>
      <c r="E32" s="58">
        <v>-153631</v>
      </c>
      <c r="F32" s="58">
        <v>-211635</v>
      </c>
      <c r="G32" s="58">
        <v>-333025</v>
      </c>
      <c r="H32" s="67">
        <f>'2026 Interim'!E102*2</f>
        <v>-368466</v>
      </c>
      <c r="I32" s="67">
        <f>-'Balance Sheet'!J55</f>
        <v>-379520</v>
      </c>
      <c r="J32" s="67">
        <f>-'Balance Sheet'!K55</f>
        <v>-390906</v>
      </c>
      <c r="K32" s="67">
        <f>-'Balance Sheet'!L55</f>
        <v>-402633</v>
      </c>
      <c r="L32" s="67">
        <f>-'Balance Sheet'!M55</f>
        <v>-414712</v>
      </c>
      <c r="M32" s="67">
        <f>-'Balance Sheet'!N55</f>
        <v>-427153</v>
      </c>
      <c r="N32" s="67">
        <f>-'Balance Sheet'!O55</f>
        <v>-439968</v>
      </c>
      <c r="O32" s="67">
        <f>-'Balance Sheet'!P55</f>
        <v>-453167</v>
      </c>
      <c r="P32" s="67">
        <f>-'Balance Sheet'!Q55</f>
        <v>-466762</v>
      </c>
      <c r="Q32" s="67">
        <f>-'Balance Sheet'!R55</f>
        <v>-480765</v>
      </c>
      <c r="R32" s="52"/>
    </row>
    <row r="33" spans="1:18" ht="15" customHeight="1">
      <c r="A33" s="52"/>
      <c r="B33" s="32" t="s">
        <v>138</v>
      </c>
      <c r="C33" s="58">
        <v>0</v>
      </c>
      <c r="D33" s="58">
        <v>-101681</v>
      </c>
      <c r="E33" s="58">
        <v>-3028977</v>
      </c>
      <c r="F33" s="58">
        <v>0</v>
      </c>
      <c r="G33" s="5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52"/>
    </row>
    <row r="34" spans="1:18" ht="15" customHeight="1">
      <c r="A34" s="52"/>
      <c r="B34" s="32" t="s">
        <v>139</v>
      </c>
      <c r="C34" s="58">
        <v>-59921</v>
      </c>
      <c r="D34" s="58">
        <v>-1044473</v>
      </c>
      <c r="E34" s="58">
        <v>1136687</v>
      </c>
      <c r="F34" s="58">
        <v>0</v>
      </c>
      <c r="G34" s="58">
        <v>-99603</v>
      </c>
      <c r="H34" s="67">
        <f>'2026 Interim'!E103*2</f>
        <v>199206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52"/>
    </row>
    <row r="35" spans="1:18" ht="15" customHeight="1">
      <c r="A35" s="52"/>
      <c r="B35" s="32" t="s">
        <v>140</v>
      </c>
      <c r="C35" s="58">
        <v>73050</v>
      </c>
      <c r="D35" s="58">
        <v>-2000</v>
      </c>
      <c r="E35" s="58">
        <v>1000</v>
      </c>
      <c r="F35" s="58">
        <v>4816</v>
      </c>
      <c r="G35" s="58">
        <v>-1137</v>
      </c>
      <c r="H35" s="67">
        <f>'2026 Interim'!E104*2</f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52"/>
    </row>
    <row r="36" spans="1:18" ht="15" customHeight="1">
      <c r="A36" s="52"/>
      <c r="B36" s="32" t="s">
        <v>141</v>
      </c>
      <c r="C36" s="58">
        <v>5357</v>
      </c>
      <c r="D36" s="58">
        <v>780</v>
      </c>
      <c r="E36" s="58">
        <v>69</v>
      </c>
      <c r="F36" s="58">
        <v>377</v>
      </c>
      <c r="G36" s="58">
        <v>245</v>
      </c>
      <c r="H36" s="67">
        <f>'2026 Interim'!E105*2</f>
        <v>282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52"/>
    </row>
    <row r="37" spans="1:18" ht="15" customHeight="1">
      <c r="A37" s="52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2"/>
    </row>
    <row r="38" spans="1:18" ht="15" customHeight="1">
      <c r="A38" s="52"/>
      <c r="B38" s="38" t="s">
        <v>142</v>
      </c>
      <c r="C38" s="58">
        <v>-80298</v>
      </c>
      <c r="D38" s="58">
        <v>-1290822</v>
      </c>
      <c r="E38" s="58">
        <v>-2044852</v>
      </c>
      <c r="F38" s="58">
        <v>-206442</v>
      </c>
      <c r="G38" s="58">
        <v>-433520</v>
      </c>
      <c r="H38" s="67">
        <f>'Cash Flow'!H32+'Cash Flow'!H33+'Cash Flow'!H34+'Cash Flow'!H35+'Cash Flow'!H36</f>
        <v>-168978</v>
      </c>
      <c r="I38" s="67">
        <f>'Cash Flow'!I32+'Cash Flow'!I33+'Cash Flow'!I34+'Cash Flow'!I35+'Cash Flow'!I36</f>
        <v>-379520</v>
      </c>
      <c r="J38" s="67">
        <f>'Cash Flow'!J32+'Cash Flow'!J33+'Cash Flow'!J34+'Cash Flow'!J35+'Cash Flow'!J36</f>
        <v>-390906</v>
      </c>
      <c r="K38" s="67">
        <f>'Cash Flow'!K32+'Cash Flow'!K33+'Cash Flow'!K34+'Cash Flow'!K35+'Cash Flow'!K36</f>
        <v>-402633</v>
      </c>
      <c r="L38" s="67">
        <f>'Cash Flow'!L32+'Cash Flow'!L33+'Cash Flow'!L34+'Cash Flow'!L35+'Cash Flow'!L36</f>
        <v>-414712</v>
      </c>
      <c r="M38" s="67">
        <f>'Cash Flow'!M32+'Cash Flow'!M33+'Cash Flow'!M34+'Cash Flow'!M35+'Cash Flow'!M36</f>
        <v>-427153</v>
      </c>
      <c r="N38" s="67">
        <f>'Cash Flow'!N32+'Cash Flow'!N33+'Cash Flow'!N34+'Cash Flow'!N35+'Cash Flow'!N36</f>
        <v>-439968</v>
      </c>
      <c r="O38" s="67">
        <f>'Cash Flow'!O32+'Cash Flow'!O33+'Cash Flow'!O34+'Cash Flow'!O35+'Cash Flow'!O36</f>
        <v>-453167</v>
      </c>
      <c r="P38" s="67">
        <f>'Cash Flow'!P32+'Cash Flow'!P33+'Cash Flow'!P34+'Cash Flow'!P35+'Cash Flow'!P36</f>
        <v>-466762</v>
      </c>
      <c r="Q38" s="67">
        <f>'Cash Flow'!Q32+'Cash Flow'!Q33+'Cash Flow'!Q34+'Cash Flow'!Q35+'Cash Flow'!Q36</f>
        <v>-480765</v>
      </c>
      <c r="R38" s="52"/>
    </row>
    <row r="39" spans="1:18" ht="1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1:18" ht="15" customHeight="1">
      <c r="A40" s="52"/>
      <c r="B40" s="42" t="s">
        <v>143</v>
      </c>
      <c r="C40" s="57"/>
      <c r="D40" s="57"/>
      <c r="E40" s="57"/>
      <c r="F40" s="57"/>
      <c r="G40" s="57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52"/>
    </row>
    <row r="41" spans="1:18" ht="15" customHeight="1">
      <c r="A41" s="52"/>
      <c r="B41" s="32" t="s">
        <v>144</v>
      </c>
      <c r="C41" s="58">
        <v>0</v>
      </c>
      <c r="D41" s="58">
        <v>0</v>
      </c>
      <c r="E41" s="58">
        <v>816582</v>
      </c>
      <c r="F41" s="58">
        <v>497022</v>
      </c>
      <c r="G41" s="5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52"/>
    </row>
    <row r="42" spans="1:18" ht="15" customHeight="1">
      <c r="A42" s="52"/>
      <c r="B42" s="32" t="s">
        <v>145</v>
      </c>
      <c r="C42" s="58">
        <v>0</v>
      </c>
      <c r="D42" s="58">
        <v>0</v>
      </c>
      <c r="E42" s="58">
        <v>0</v>
      </c>
      <c r="F42" s="58">
        <v>-1041590</v>
      </c>
      <c r="G42" s="58">
        <v>-285240</v>
      </c>
      <c r="H42" s="67">
        <f>'2026 Interim'!E108*2</f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52"/>
    </row>
    <row r="43" spans="1:18" ht="15" customHeight="1">
      <c r="A43" s="52"/>
      <c r="B43" s="32" t="s">
        <v>146</v>
      </c>
      <c r="C43" s="58">
        <v>-38977</v>
      </c>
      <c r="D43" s="58">
        <v>-38856</v>
      </c>
      <c r="E43" s="58">
        <v>-40798</v>
      </c>
      <c r="F43" s="58">
        <v>-88818</v>
      </c>
      <c r="G43" s="58">
        <v>-52642</v>
      </c>
      <c r="H43" s="67">
        <f>'2026 Interim'!E109*2</f>
        <v>-52652</v>
      </c>
      <c r="I43" s="67">
        <f>'Income Statement'!J33*0.46</f>
        <v>-49726.864799999996</v>
      </c>
      <c r="J43" s="67">
        <f>'Income Statement'!K33*0.46</f>
        <v>-46743.252911999996</v>
      </c>
      <c r="K43" s="67">
        <f>'Income Statement'!L33*0.46</f>
        <v>-43938.657737279995</v>
      </c>
      <c r="L43" s="67">
        <f>'Income Statement'!M33*0.46</f>
        <v>-41302.338273043191</v>
      </c>
      <c r="M43" s="67">
        <f>'Income Statement'!N33*0.46</f>
        <v>-38824.197976660602</v>
      </c>
      <c r="N43" s="67">
        <f>'Income Statement'!O33*0.46</f>
        <v>-36494.746098060969</v>
      </c>
      <c r="O43" s="67">
        <f>'Income Statement'!P33*0.46</f>
        <v>-34305.061332177313</v>
      </c>
      <c r="P43" s="67">
        <f>'Income Statement'!Q33*0.46</f>
        <v>-32246.757652246666</v>
      </c>
      <c r="Q43" s="67">
        <f>'Income Statement'!R33*0.46</f>
        <v>-30311.952193111869</v>
      </c>
      <c r="R43" s="52"/>
    </row>
    <row r="44" spans="1:18" ht="15" customHeight="1">
      <c r="A44" s="52"/>
      <c r="B44" s="32" t="s">
        <v>147</v>
      </c>
      <c r="C44" s="58">
        <v>26771</v>
      </c>
      <c r="D44" s="58">
        <v>9632</v>
      </c>
      <c r="E44" s="58">
        <v>27537</v>
      </c>
      <c r="F44" s="58">
        <v>16656</v>
      </c>
      <c r="G44" s="58">
        <v>2170</v>
      </c>
      <c r="H44" s="67">
        <f>'2026 Interim'!E111*2</f>
        <v>2292</v>
      </c>
      <c r="I44" s="68">
        <v>2000</v>
      </c>
      <c r="J44" s="68">
        <v>2000</v>
      </c>
      <c r="K44" s="68">
        <v>2000</v>
      </c>
      <c r="L44" s="68">
        <v>2000</v>
      </c>
      <c r="M44" s="68">
        <v>2000</v>
      </c>
      <c r="N44" s="68">
        <v>2000</v>
      </c>
      <c r="O44" s="68">
        <v>2000</v>
      </c>
      <c r="P44" s="68">
        <v>2000</v>
      </c>
      <c r="Q44" s="68">
        <v>2000</v>
      </c>
      <c r="R44" s="52"/>
    </row>
    <row r="45" spans="1:18" ht="15" customHeight="1">
      <c r="A45" s="52"/>
      <c r="B45" s="32" t="s">
        <v>148</v>
      </c>
      <c r="C45" s="58">
        <v>0</v>
      </c>
      <c r="D45" s="58">
        <v>953285</v>
      </c>
      <c r="E45" s="58">
        <v>0</v>
      </c>
      <c r="F45" s="58">
        <v>0</v>
      </c>
      <c r="G45" s="58">
        <v>0</v>
      </c>
      <c r="H45" s="68">
        <v>0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52"/>
    </row>
    <row r="46" spans="1:18" ht="15" customHeight="1">
      <c r="A46" s="52"/>
      <c r="B46" s="32" t="s">
        <v>149</v>
      </c>
      <c r="C46" s="58">
        <v>-2727</v>
      </c>
      <c r="D46" s="58">
        <v>-2908</v>
      </c>
      <c r="E46" s="58">
        <v>-2430</v>
      </c>
      <c r="F46" s="58">
        <v>-2051</v>
      </c>
      <c r="G46" s="58">
        <v>-2733</v>
      </c>
      <c r="H46" s="67">
        <f>'2026 Interim'!E110*2</f>
        <v>-3812</v>
      </c>
      <c r="I46" s="68">
        <v>-3000</v>
      </c>
      <c r="J46" s="68">
        <v>-3000</v>
      </c>
      <c r="K46" s="68">
        <v>-3000</v>
      </c>
      <c r="L46" s="68">
        <v>-3000</v>
      </c>
      <c r="M46" s="68">
        <v>-3000</v>
      </c>
      <c r="N46" s="68">
        <v>-3000</v>
      </c>
      <c r="O46" s="68">
        <v>-3000</v>
      </c>
      <c r="P46" s="68">
        <v>-3000</v>
      </c>
      <c r="Q46" s="68">
        <v>-3000</v>
      </c>
      <c r="R46" s="52"/>
    </row>
    <row r="47" spans="1:18" ht="15" customHeight="1">
      <c r="A47" s="52"/>
      <c r="B47" s="32" t="s">
        <v>150</v>
      </c>
      <c r="C47" s="58">
        <v>-31839</v>
      </c>
      <c r="D47" s="58">
        <v>-51895</v>
      </c>
      <c r="E47" s="58">
        <v>-52079</v>
      </c>
      <c r="F47" s="58">
        <v>-69641</v>
      </c>
      <c r="G47" s="58">
        <v>-104480</v>
      </c>
      <c r="H47" s="67">
        <f>'2026 Interim'!E112*2</f>
        <v>0</v>
      </c>
      <c r="I47" s="68">
        <v>-126000</v>
      </c>
      <c r="J47" s="68">
        <v>-132300</v>
      </c>
      <c r="K47" s="68">
        <v>-138915</v>
      </c>
      <c r="L47" s="68">
        <v>-145861</v>
      </c>
      <c r="M47" s="68">
        <v>-153154</v>
      </c>
      <c r="N47" s="68">
        <v>-160812</v>
      </c>
      <c r="O47" s="68">
        <v>-168852</v>
      </c>
      <c r="P47" s="68">
        <v>-177295</v>
      </c>
      <c r="Q47" s="68">
        <v>-186160</v>
      </c>
      <c r="R47" s="52"/>
    </row>
    <row r="48" spans="1:18" ht="15" customHeight="1">
      <c r="A48" s="52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2"/>
    </row>
    <row r="49" spans="1:18" ht="15" customHeight="1">
      <c r="A49" s="52"/>
      <c r="B49" s="38" t="s">
        <v>151</v>
      </c>
      <c r="C49" s="58">
        <v>-46772</v>
      </c>
      <c r="D49" s="58">
        <v>869258</v>
      </c>
      <c r="E49" s="58">
        <v>748812</v>
      </c>
      <c r="F49" s="58">
        <v>-688422</v>
      </c>
      <c r="G49" s="58">
        <v>-442925</v>
      </c>
      <c r="H49" s="67">
        <f>'Cash Flow'!H41+'Cash Flow'!H42+'Cash Flow'!H43+'Cash Flow'!H44+'Cash Flow'!H45+'Cash Flow'!H46+'Cash Flow'!H47</f>
        <v>-54172</v>
      </c>
      <c r="I49" s="67">
        <f>'Cash Flow'!I41+'Cash Flow'!I42+'Cash Flow'!I43+'Cash Flow'!I44+'Cash Flow'!I45+'Cash Flow'!I46+'Cash Flow'!I47</f>
        <v>-176726.86479999998</v>
      </c>
      <c r="J49" s="67">
        <f>'Cash Flow'!J41+'Cash Flow'!J42+'Cash Flow'!J43+'Cash Flow'!J44+'Cash Flow'!J45+'Cash Flow'!J46+'Cash Flow'!J47</f>
        <v>-180043.252912</v>
      </c>
      <c r="K49" s="67">
        <f>'Cash Flow'!K41+'Cash Flow'!K42+'Cash Flow'!K43+'Cash Flow'!K44+'Cash Flow'!K45+'Cash Flow'!K46+'Cash Flow'!K47</f>
        <v>-183853.65773728001</v>
      </c>
      <c r="L49" s="67">
        <f>'Cash Flow'!L41+'Cash Flow'!L42+'Cash Flow'!L43+'Cash Flow'!L44+'Cash Flow'!L45+'Cash Flow'!L46+'Cash Flow'!L47</f>
        <v>-188163.33827304319</v>
      </c>
      <c r="M49" s="67">
        <f>'Cash Flow'!M41+'Cash Flow'!M42+'Cash Flow'!M43+'Cash Flow'!M44+'Cash Flow'!M45+'Cash Flow'!M46+'Cash Flow'!M47</f>
        <v>-192978.19797666059</v>
      </c>
      <c r="N49" s="67">
        <f>'Cash Flow'!N41+'Cash Flow'!N42+'Cash Flow'!N43+'Cash Flow'!N44+'Cash Flow'!N45+'Cash Flow'!N46+'Cash Flow'!N47</f>
        <v>-198306.74609806098</v>
      </c>
      <c r="O49" s="67">
        <f>'Cash Flow'!O41+'Cash Flow'!O42+'Cash Flow'!O43+'Cash Flow'!O44+'Cash Flow'!O45+'Cash Flow'!O46+'Cash Flow'!O47</f>
        <v>-204157.06133217731</v>
      </c>
      <c r="P49" s="67">
        <f>'Cash Flow'!P41+'Cash Flow'!P42+'Cash Flow'!P43+'Cash Flow'!P44+'Cash Flow'!P45+'Cash Flow'!P46+'Cash Flow'!P47</f>
        <v>-210541.75765224668</v>
      </c>
      <c r="Q49" s="67">
        <f>'Cash Flow'!Q41+'Cash Flow'!Q42+'Cash Flow'!Q43+'Cash Flow'!Q44+'Cash Flow'!Q45+'Cash Flow'!Q46+'Cash Flow'!Q47</f>
        <v>-217471.95219311188</v>
      </c>
      <c r="R49" s="52"/>
    </row>
    <row r="50" spans="1:18" ht="1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spans="1:18" ht="15" customHeight="1">
      <c r="A51" s="52"/>
      <c r="B51" s="42" t="s">
        <v>152</v>
      </c>
      <c r="C51" s="57"/>
      <c r="D51" s="57"/>
      <c r="E51" s="57"/>
      <c r="F51" s="57"/>
      <c r="G51" s="57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52"/>
    </row>
    <row r="52" spans="1:18" ht="15" customHeight="1">
      <c r="A52" s="52"/>
      <c r="B52" s="32" t="s">
        <v>153</v>
      </c>
      <c r="C52" s="58">
        <v>329065</v>
      </c>
      <c r="D52" s="58">
        <v>-103773</v>
      </c>
      <c r="E52" s="58">
        <v>-607904</v>
      </c>
      <c r="F52" s="58">
        <v>10424</v>
      </c>
      <c r="G52" s="58">
        <v>531987</v>
      </c>
      <c r="H52" s="67">
        <f>'Cash Flow'!H29+'Cash Flow'!H38+'Cash Flow'!H49</f>
        <v>-5636</v>
      </c>
      <c r="I52" s="67">
        <f>'Cash Flow'!I29+'Cash Flow'!I38+'Cash Flow'!I49</f>
        <v>828978.87977392843</v>
      </c>
      <c r="J52" s="67">
        <f>'Cash Flow'!J29+'Cash Flow'!J38+'Cash Flow'!J49</f>
        <v>1055399.3893878441</v>
      </c>
      <c r="K52" s="67">
        <f>'Cash Flow'!K29+'Cash Flow'!K38+'Cash Flow'!K49</f>
        <v>1288372.3904606681</v>
      </c>
      <c r="L52" s="67">
        <f>'Cash Flow'!L29+'Cash Flow'!L38+'Cash Flow'!L49</f>
        <v>1552274.9827023814</v>
      </c>
      <c r="M52" s="67">
        <f>'Cash Flow'!M29+'Cash Flow'!M38+'Cash Flow'!M49</f>
        <v>1844421.6830991812</v>
      </c>
      <c r="N52" s="67">
        <f>'Cash Flow'!N29+'Cash Flow'!N38+'Cash Flow'!N49</f>
        <v>2156314.8443212928</v>
      </c>
      <c r="O52" s="67">
        <f>'Cash Flow'!O29+'Cash Flow'!O38+'Cash Flow'!O49</f>
        <v>2509406.7069715173</v>
      </c>
      <c r="P52" s="67">
        <f>'Cash Flow'!P29+'Cash Flow'!P38+'Cash Flow'!P49</f>
        <v>2899504.8200370939</v>
      </c>
      <c r="Q52" s="67">
        <f>'Cash Flow'!Q29+'Cash Flow'!Q38+'Cash Flow'!Q49</f>
        <v>3330502.7812515143</v>
      </c>
      <c r="R52" s="52"/>
    </row>
    <row r="53" spans="1:18" ht="15" customHeight="1">
      <c r="A53" s="52"/>
      <c r="B53" s="32" t="s">
        <v>154</v>
      </c>
      <c r="C53" s="58">
        <v>-2153</v>
      </c>
      <c r="D53" s="58">
        <v>13184</v>
      </c>
      <c r="E53" s="58">
        <v>31039</v>
      </c>
      <c r="F53" s="58">
        <v>23229</v>
      </c>
      <c r="G53" s="58">
        <v>-17589</v>
      </c>
      <c r="H53" s="67">
        <f>'2026 Interim'!E116*2</f>
        <v>1352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52"/>
    </row>
    <row r="54" spans="1:18" ht="15" customHeight="1">
      <c r="A54" s="52"/>
      <c r="B54" s="35" t="s">
        <v>155</v>
      </c>
      <c r="C54" s="60">
        <v>918382</v>
      </c>
      <c r="D54" s="60">
        <v>1247447</v>
      </c>
      <c r="E54" s="60">
        <v>1143674</v>
      </c>
      <c r="F54" s="60">
        <v>566809</v>
      </c>
      <c r="G54" s="60">
        <v>600462</v>
      </c>
      <c r="H54" s="70">
        <f>'Cash Flow'!G55</f>
        <v>1114860</v>
      </c>
      <c r="I54" s="70">
        <f>'Cash Flow'!H55</f>
        <v>1110576</v>
      </c>
      <c r="J54" s="70">
        <f>'Cash Flow'!I55</f>
        <v>1939554.8797739283</v>
      </c>
      <c r="K54" s="70">
        <f>'Cash Flow'!J55</f>
        <v>2994954.2691617724</v>
      </c>
      <c r="L54" s="70">
        <f>'Cash Flow'!K55</f>
        <v>4283326.6596224401</v>
      </c>
      <c r="M54" s="70">
        <f>'Cash Flow'!L55</f>
        <v>5835601.642324822</v>
      </c>
      <c r="N54" s="70">
        <f>'Cash Flow'!M55</f>
        <v>7680023.3254240034</v>
      </c>
      <c r="O54" s="70">
        <f>'Cash Flow'!N55</f>
        <v>9836338.1697452962</v>
      </c>
      <c r="P54" s="70">
        <f>'Cash Flow'!O55</f>
        <v>12345744.876716813</v>
      </c>
      <c r="Q54" s="70">
        <f>'Cash Flow'!P55</f>
        <v>15245249.696753908</v>
      </c>
      <c r="R54" s="52"/>
    </row>
    <row r="55" spans="1:18" ht="15" customHeight="1">
      <c r="A55" s="52"/>
      <c r="B55" s="38" t="s">
        <v>156</v>
      </c>
      <c r="C55" s="58">
        <v>1247447</v>
      </c>
      <c r="D55" s="58">
        <v>1143674</v>
      </c>
      <c r="E55" s="58">
        <v>566809</v>
      </c>
      <c r="F55" s="58">
        <v>600462</v>
      </c>
      <c r="G55" s="58">
        <v>1114860</v>
      </c>
      <c r="H55" s="67">
        <f>'Cash Flow'!H54+'Cash Flow'!H52+'Cash Flow'!H53</f>
        <v>1110576</v>
      </c>
      <c r="I55" s="67">
        <f>'Cash Flow'!I54+'Cash Flow'!I52+'Cash Flow'!I53</f>
        <v>1939554.8797739283</v>
      </c>
      <c r="J55" s="67">
        <f>'Cash Flow'!J54+'Cash Flow'!J52+'Cash Flow'!J53</f>
        <v>2994954.2691617724</v>
      </c>
      <c r="K55" s="67">
        <f>'Cash Flow'!K54+'Cash Flow'!K52+'Cash Flow'!K53</f>
        <v>4283326.6596224401</v>
      </c>
      <c r="L55" s="67">
        <f>'Cash Flow'!L54+'Cash Flow'!L52+'Cash Flow'!L53</f>
        <v>5835601.642324822</v>
      </c>
      <c r="M55" s="67">
        <f>'Cash Flow'!M54+'Cash Flow'!M52+'Cash Flow'!M53</f>
        <v>7680023.3254240034</v>
      </c>
      <c r="N55" s="67">
        <f>'Cash Flow'!N54+'Cash Flow'!N52+'Cash Flow'!N53</f>
        <v>9836338.1697452962</v>
      </c>
      <c r="O55" s="67">
        <f>'Cash Flow'!O54+'Cash Flow'!O52+'Cash Flow'!O53</f>
        <v>12345744.876716813</v>
      </c>
      <c r="P55" s="67">
        <f>'Cash Flow'!P54+'Cash Flow'!P52+'Cash Flow'!P53</f>
        <v>15245249.696753908</v>
      </c>
      <c r="Q55" s="67">
        <f>'Cash Flow'!Q54+'Cash Flow'!Q52+'Cash Flow'!Q53</f>
        <v>18575752.478005424</v>
      </c>
      <c r="R55" s="52"/>
    </row>
    <row r="56" spans="1:18" ht="1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spans="1:18" ht="15" customHeight="1">
      <c r="A57" s="52"/>
      <c r="B57" s="42" t="s">
        <v>157</v>
      </c>
      <c r="C57" s="57"/>
      <c r="D57" s="57"/>
      <c r="E57" s="57"/>
      <c r="F57" s="57"/>
      <c r="G57" s="57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52"/>
    </row>
    <row r="58" spans="1:18" ht="15" customHeight="1">
      <c r="A58" s="52"/>
      <c r="B58" s="32" t="s">
        <v>158</v>
      </c>
      <c r="C58" s="58">
        <v>458288</v>
      </c>
      <c r="D58" s="58">
        <v>304607</v>
      </c>
      <c r="E58" s="58">
        <v>688136</v>
      </c>
      <c r="F58" s="58">
        <v>905288</v>
      </c>
      <c r="G58" s="58">
        <v>1408432</v>
      </c>
      <c r="H58" s="67">
        <f>'Cash Flow'!H29</f>
        <v>217514</v>
      </c>
      <c r="I58" s="67">
        <f>'Cash Flow'!I29</f>
        <v>1385225.7445739284</v>
      </c>
      <c r="J58" s="67">
        <f>'Cash Flow'!J29</f>
        <v>1626348.6422998442</v>
      </c>
      <c r="K58" s="67">
        <f>'Cash Flow'!K29</f>
        <v>1874859.0481979481</v>
      </c>
      <c r="L58" s="67">
        <f>'Cash Flow'!L29</f>
        <v>2155150.3209754247</v>
      </c>
      <c r="M58" s="67">
        <f>'Cash Flow'!M29</f>
        <v>2464552.8810758418</v>
      </c>
      <c r="N58" s="67">
        <f>'Cash Flow'!N29</f>
        <v>2794589.5904193539</v>
      </c>
      <c r="O58" s="67">
        <f>'Cash Flow'!O29</f>
        <v>3166730.7683036947</v>
      </c>
      <c r="P58" s="67">
        <f>'Cash Flow'!P29</f>
        <v>3576808.5776893408</v>
      </c>
      <c r="Q58" s="67">
        <f>'Cash Flow'!Q29</f>
        <v>4028739.7334446264</v>
      </c>
      <c r="R58" s="52"/>
    </row>
    <row r="59" spans="1:18" ht="15" customHeight="1">
      <c r="A59" s="52"/>
      <c r="B59" s="35" t="s">
        <v>159</v>
      </c>
      <c r="C59" s="60">
        <v>-98784</v>
      </c>
      <c r="D59" s="60">
        <v>-143448</v>
      </c>
      <c r="E59" s="60">
        <v>-153631</v>
      </c>
      <c r="F59" s="60">
        <v>-211635</v>
      </c>
      <c r="G59" s="60">
        <v>-333025</v>
      </c>
      <c r="H59" s="70">
        <f>'Cash Flow'!H32</f>
        <v>-368466</v>
      </c>
      <c r="I59" s="70">
        <f>'Cash Flow'!I32</f>
        <v>-379520</v>
      </c>
      <c r="J59" s="70">
        <f>'Cash Flow'!J32</f>
        <v>-390906</v>
      </c>
      <c r="K59" s="70">
        <f>'Cash Flow'!K32</f>
        <v>-402633</v>
      </c>
      <c r="L59" s="70">
        <f>'Cash Flow'!L32</f>
        <v>-414712</v>
      </c>
      <c r="M59" s="70">
        <f>'Cash Flow'!M32</f>
        <v>-427153</v>
      </c>
      <c r="N59" s="70">
        <f>'Cash Flow'!N32</f>
        <v>-439968</v>
      </c>
      <c r="O59" s="70">
        <f>'Cash Flow'!O32</f>
        <v>-453167</v>
      </c>
      <c r="P59" s="70">
        <f>'Cash Flow'!P32</f>
        <v>-466762</v>
      </c>
      <c r="Q59" s="70">
        <f>'Cash Flow'!Q32</f>
        <v>-480765</v>
      </c>
      <c r="R59" s="52"/>
    </row>
    <row r="60" spans="1:18" ht="15" customHeight="1">
      <c r="A60" s="52"/>
      <c r="B60" s="38" t="s">
        <v>160</v>
      </c>
      <c r="C60" s="71">
        <v>359504</v>
      </c>
      <c r="D60" s="71">
        <v>161159</v>
      </c>
      <c r="E60" s="71">
        <v>534505</v>
      </c>
      <c r="F60" s="71">
        <v>693653</v>
      </c>
      <c r="G60" s="71">
        <v>1075407</v>
      </c>
      <c r="H60" s="72">
        <f>'Cash Flow'!H58+'Cash Flow'!H59</f>
        <v>-150952</v>
      </c>
      <c r="I60" s="72">
        <f>'Cash Flow'!I58+'Cash Flow'!I59</f>
        <v>1005705.7445739284</v>
      </c>
      <c r="J60" s="72">
        <f>'Cash Flow'!J58+'Cash Flow'!J59</f>
        <v>1235442.6422998442</v>
      </c>
      <c r="K60" s="72">
        <f>'Cash Flow'!K58+'Cash Flow'!K59</f>
        <v>1472226.0481979481</v>
      </c>
      <c r="L60" s="72">
        <f>'Cash Flow'!L58+'Cash Flow'!L59</f>
        <v>1740438.3209754247</v>
      </c>
      <c r="M60" s="72">
        <f>'Cash Flow'!M58+'Cash Flow'!M59</f>
        <v>2037399.8810758418</v>
      </c>
      <c r="N60" s="72">
        <f>'Cash Flow'!N58+'Cash Flow'!N59</f>
        <v>2354621.5904193539</v>
      </c>
      <c r="O60" s="72">
        <f>'Cash Flow'!O58+'Cash Flow'!O59</f>
        <v>2713563.7683036947</v>
      </c>
      <c r="P60" s="72">
        <f>'Cash Flow'!P58+'Cash Flow'!P59</f>
        <v>3110046.5776893408</v>
      </c>
      <c r="Q60" s="72">
        <f>'Cash Flow'!Q58+'Cash Flow'!Q59</f>
        <v>3547974.7334446264</v>
      </c>
      <c r="R60" s="52"/>
    </row>
    <row r="61" spans="1:18" ht="1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spans="1:18" ht="1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spans="1:18" ht="1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1:18" ht="1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spans="1:18" ht="1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spans="1:18" ht="1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spans="1:18" ht="1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1:18" ht="1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spans="1:18" ht="1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N89"/>
  <sheetViews>
    <sheetView showGridLines="0" topLeftCell="A47" zoomScale="114" zoomScaleNormal="100" workbookViewId="0">
      <selection activeCell="I65" sqref="I65"/>
    </sheetView>
  </sheetViews>
  <sheetFormatPr baseColWidth="10" defaultColWidth="8.6640625" defaultRowHeight="15"/>
  <cols>
    <col min="1" max="1" width="2.83203125" customWidth="1"/>
    <col min="2" max="2" width="5.83203125" customWidth="1"/>
    <col min="3" max="3" width="44" customWidth="1"/>
    <col min="4" max="4" width="14" customWidth="1"/>
    <col min="5" max="13" width="12" customWidth="1"/>
    <col min="14" max="14" width="14" customWidth="1"/>
  </cols>
  <sheetData>
    <row r="1" spans="1:14" ht="1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5.75" customHeight="1">
      <c r="A2" s="52"/>
      <c r="B2" s="52"/>
      <c r="C2" s="73" t="s">
        <v>161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15" customHeight="1">
      <c r="A3" s="52"/>
      <c r="B3" s="52"/>
      <c r="C3" s="74" t="s">
        <v>162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15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15" customHeight="1">
      <c r="A5" s="52"/>
      <c r="B5" s="52"/>
      <c r="C5" s="42" t="s">
        <v>163</v>
      </c>
      <c r="D5" s="66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14" ht="15" customHeight="1">
      <c r="A6" s="52"/>
      <c r="B6" s="52"/>
      <c r="C6" s="75" t="s">
        <v>164</v>
      </c>
      <c r="D6" s="76">
        <v>3.6999999999999998E-2</v>
      </c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14" ht="15" customHeight="1">
      <c r="A7" s="52"/>
      <c r="B7" s="52"/>
      <c r="C7" s="75" t="s">
        <v>165</v>
      </c>
      <c r="D7" s="76">
        <v>5.5E-2</v>
      </c>
      <c r="E7" s="52"/>
      <c r="F7" s="52"/>
      <c r="G7" s="52"/>
      <c r="H7" s="52"/>
      <c r="I7" s="52"/>
      <c r="J7" s="52"/>
      <c r="K7" s="52"/>
      <c r="L7" s="52"/>
      <c r="M7" s="52"/>
      <c r="N7" s="52"/>
    </row>
    <row r="8" spans="1:14" ht="15" customHeight="1">
      <c r="A8" s="52"/>
      <c r="B8" s="52"/>
      <c r="C8" s="75" t="s">
        <v>166</v>
      </c>
      <c r="D8" s="77">
        <f>CHOOSE(Cover!C17,DCF!D82,DCF!E82)</f>
        <v>1</v>
      </c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1:14" ht="15" customHeight="1">
      <c r="A9" s="52"/>
      <c r="B9" s="52"/>
      <c r="C9" s="73" t="s">
        <v>167</v>
      </c>
      <c r="D9" s="78">
        <f>D6+D8*D7</f>
        <v>9.1999999999999998E-2</v>
      </c>
      <c r="E9" s="52"/>
      <c r="F9" s="52"/>
      <c r="G9" s="52"/>
      <c r="H9" s="52"/>
      <c r="I9" s="52"/>
      <c r="J9" s="52"/>
      <c r="K9" s="52"/>
      <c r="L9" s="52"/>
      <c r="M9" s="52"/>
      <c r="N9" s="52"/>
    </row>
    <row r="10" spans="1:14" ht="1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</row>
    <row r="11" spans="1:14" ht="15" customHeight="1">
      <c r="A11" s="52"/>
      <c r="B11" s="52"/>
      <c r="C11" s="75" t="s">
        <v>168</v>
      </c>
      <c r="D11" s="76">
        <v>4.9000000000000002E-2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</row>
    <row r="12" spans="1:14" ht="15" customHeight="1">
      <c r="A12" s="52"/>
      <c r="B12" s="52"/>
      <c r="C12" s="75" t="s">
        <v>169</v>
      </c>
      <c r="D12" s="76">
        <v>0.28999999999999998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</row>
    <row r="13" spans="1:14" ht="15" customHeight="1">
      <c r="A13" s="52"/>
      <c r="B13" s="52"/>
      <c r="C13" s="73" t="s">
        <v>170</v>
      </c>
      <c r="D13" s="78">
        <f>D11*(1-D12)</f>
        <v>3.4790000000000001E-2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</row>
    <row r="14" spans="1:14" ht="15" customHeight="1">
      <c r="A14" s="52"/>
      <c r="B14" s="52"/>
      <c r="C14" s="75" t="s">
        <v>171</v>
      </c>
      <c r="D14" s="79">
        <v>60.6</v>
      </c>
      <c r="E14" s="74" t="s">
        <v>172</v>
      </c>
      <c r="F14" s="52"/>
      <c r="G14" s="52"/>
      <c r="H14" s="52"/>
      <c r="I14" s="52"/>
      <c r="J14" s="52"/>
      <c r="K14" s="52"/>
      <c r="L14" s="52"/>
      <c r="M14" s="52"/>
      <c r="N14" s="52"/>
    </row>
    <row r="15" spans="1:14" ht="15" customHeight="1">
      <c r="A15" s="52"/>
      <c r="B15" s="52"/>
      <c r="C15" s="75" t="s">
        <v>173</v>
      </c>
      <c r="D15" s="78">
        <f>(-D57)/(-D57+D14*1000000)</f>
        <v>1.6175439491964688E-2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</row>
    <row r="16" spans="1:14" ht="15" customHeight="1">
      <c r="A16" s="52"/>
      <c r="B16" s="52"/>
      <c r="C16" s="73" t="s">
        <v>174</v>
      </c>
      <c r="D16" s="78">
        <f>1-D15</f>
        <v>0.98382456050803535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</row>
    <row r="17" spans="1:14" ht="1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</row>
    <row r="18" spans="1:14" ht="15" customHeight="1">
      <c r="A18" s="52"/>
      <c r="B18" s="52"/>
      <c r="C18" s="73" t="s">
        <v>175</v>
      </c>
      <c r="D18" s="80">
        <f>D9*D16+D13*D15</f>
        <v>9.1074603106664709E-2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</row>
    <row r="19" spans="1:14" ht="15" customHeight="1">
      <c r="A19" s="52"/>
      <c r="B19" s="52"/>
      <c r="C19" s="74" t="s">
        <v>176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</row>
    <row r="20" spans="1:14" ht="15" customHeight="1">
      <c r="A20" s="52"/>
      <c r="B20" s="52"/>
      <c r="C20" s="52"/>
      <c r="D20" s="52"/>
      <c r="E20" s="81" t="s">
        <v>29</v>
      </c>
      <c r="F20" s="81" t="s">
        <v>30</v>
      </c>
      <c r="G20" s="81" t="s">
        <v>31</v>
      </c>
      <c r="H20" s="81" t="s">
        <v>32</v>
      </c>
      <c r="I20" s="81" t="s">
        <v>33</v>
      </c>
      <c r="J20" s="81" t="s">
        <v>34</v>
      </c>
      <c r="K20" s="81" t="s">
        <v>35</v>
      </c>
      <c r="L20" s="81" t="s">
        <v>36</v>
      </c>
      <c r="M20" s="81" t="s">
        <v>37</v>
      </c>
      <c r="N20" s="52"/>
    </row>
    <row r="21" spans="1:14" ht="4.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</row>
    <row r="22" spans="1:14" ht="15" customHeight="1">
      <c r="A22" s="52"/>
      <c r="B22" s="52"/>
      <c r="C22" s="42" t="s">
        <v>177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52"/>
    </row>
    <row r="23" spans="1:14" ht="15" customHeight="1">
      <c r="A23" s="52"/>
      <c r="B23" s="52"/>
      <c r="C23" s="75" t="s">
        <v>178</v>
      </c>
      <c r="D23" s="52"/>
      <c r="E23" s="82">
        <f>'Income Statement'!J30</f>
        <v>929379.34042942396</v>
      </c>
      <c r="F23" s="82">
        <f>'Income Statement'!K30</f>
        <v>1184965.5156936501</v>
      </c>
      <c r="G23" s="82">
        <f>'Income Statement'!L30</f>
        <v>1468536.8832308969</v>
      </c>
      <c r="H23" s="82">
        <f>'Income Statement'!M30</f>
        <v>1782963.3340502814</v>
      </c>
      <c r="I23" s="82">
        <f>'Income Statement'!N30</f>
        <v>2131455.3082402586</v>
      </c>
      <c r="J23" s="82">
        <f>'Income Statement'!O30</f>
        <v>2517611.9860022753</v>
      </c>
      <c r="K23" s="82">
        <f>'Income Statement'!P30</f>
        <v>2945477.0126448241</v>
      </c>
      <c r="L23" s="82">
        <f>'Income Statement'!Q30</f>
        <v>3419602.9728906248</v>
      </c>
      <c r="M23" s="82">
        <f>'Income Statement'!R30</f>
        <v>3945126.0261416137</v>
      </c>
      <c r="N23" s="52"/>
    </row>
    <row r="24" spans="1:14" ht="15" customHeight="1">
      <c r="A24" s="52"/>
      <c r="B24" s="52"/>
      <c r="C24" s="75" t="s">
        <v>179</v>
      </c>
      <c r="D24" s="52"/>
      <c r="E24" s="83">
        <f>-D12*E23</f>
        <v>-269520.00872453291</v>
      </c>
      <c r="F24" s="83">
        <f>-D12*F23</f>
        <v>-343639.99955115851</v>
      </c>
      <c r="G24" s="83">
        <f>-D12*G23</f>
        <v>-425875.69613696006</v>
      </c>
      <c r="H24" s="83">
        <f>-D12*H23</f>
        <v>-517059.36687458161</v>
      </c>
      <c r="I24" s="83">
        <f>-D12*I23</f>
        <v>-618122.0393896749</v>
      </c>
      <c r="J24" s="83">
        <f>-D12*J23</f>
        <v>-730107.47594065976</v>
      </c>
      <c r="K24" s="83">
        <f>-D12*K23</f>
        <v>-854188.33366699889</v>
      </c>
      <c r="L24" s="83">
        <f>-D12*L23</f>
        <v>-991684.86213828111</v>
      </c>
      <c r="M24" s="83">
        <f>-D12*M23</f>
        <v>-1144086.547581068</v>
      </c>
      <c r="N24" s="52"/>
    </row>
    <row r="25" spans="1:14" ht="15" customHeight="1">
      <c r="A25" s="52"/>
      <c r="B25" s="52"/>
      <c r="C25" s="84" t="s">
        <v>180</v>
      </c>
      <c r="D25" s="85"/>
      <c r="E25" s="86">
        <f>(1-D12)*E23</f>
        <v>659859.33170489094</v>
      </c>
      <c r="F25" s="86">
        <f>(1-D12)*F23</f>
        <v>841325.51614249148</v>
      </c>
      <c r="G25" s="86">
        <f>(1-D12)*G23</f>
        <v>1042661.1870939367</v>
      </c>
      <c r="H25" s="86">
        <f>(1-D12)*H23</f>
        <v>1265903.9671756998</v>
      </c>
      <c r="I25" s="86">
        <f>(1-D12)*I23</f>
        <v>1513333.2688505836</v>
      </c>
      <c r="J25" s="86">
        <f>(1-D12)*J23</f>
        <v>1787504.5100616154</v>
      </c>
      <c r="K25" s="86">
        <f>(1-D12)*K23</f>
        <v>2091288.678977825</v>
      </c>
      <c r="L25" s="86">
        <f>(1-D12)*L23</f>
        <v>2427918.1107523437</v>
      </c>
      <c r="M25" s="86">
        <f>(1-D12)*M23</f>
        <v>2801039.4785605455</v>
      </c>
      <c r="N25" s="52"/>
    </row>
    <row r="26" spans="1:14" ht="1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</row>
    <row r="27" spans="1:14" ht="15" customHeight="1">
      <c r="A27" s="52"/>
      <c r="B27" s="52"/>
      <c r="C27" s="75" t="s">
        <v>181</v>
      </c>
      <c r="D27" s="52"/>
      <c r="E27" s="82">
        <f>'Cash Flow'!I10</f>
        <v>290809.4075425184</v>
      </c>
      <c r="F27" s="82">
        <f>'Cash Flow'!J10</f>
        <v>303647.6138191637</v>
      </c>
      <c r="G27" s="82">
        <f>'Cash Flow'!K10</f>
        <v>317052.58147328469</v>
      </c>
      <c r="H27" s="82">
        <f>'Cash Flow'!L10</f>
        <v>331049.33101413923</v>
      </c>
      <c r="I27" s="82">
        <f>'Cash Flow'!M10</f>
        <v>345663.98751793051</v>
      </c>
      <c r="J27" s="82">
        <f>'Cash Flow'!N10</f>
        <v>360923.82939052919</v>
      </c>
      <c r="K27" s="82">
        <f>'Cash Flow'!O10</f>
        <v>376857.33928289701</v>
      </c>
      <c r="L27" s="82">
        <f>'Cash Flow'!P10</f>
        <v>393494.25725424621</v>
      </c>
      <c r="M27" s="82">
        <f>'Cash Flow'!Q10</f>
        <v>410865.63628216414</v>
      </c>
      <c r="N27" s="52"/>
    </row>
    <row r="28" spans="1:14" ht="15" customHeight="1">
      <c r="A28" s="52"/>
      <c r="B28" s="52"/>
      <c r="C28" s="75" t="s">
        <v>182</v>
      </c>
      <c r="D28" s="74" t="s">
        <v>183</v>
      </c>
      <c r="E28" s="82">
        <f>'Cash Flow'!I26</f>
        <v>540870</v>
      </c>
      <c r="F28" s="82">
        <f>'Cash Flow'!J26</f>
        <v>594957</v>
      </c>
      <c r="G28" s="82">
        <f>'Cash Flow'!K26</f>
        <v>654452.69999999995</v>
      </c>
      <c r="H28" s="82">
        <f>'Cash Flow'!L26</f>
        <v>719897.97</v>
      </c>
      <c r="I28" s="82">
        <f>'Cash Flow'!M26</f>
        <v>791887.76699999999</v>
      </c>
      <c r="J28" s="82">
        <f>'Cash Flow'!N26</f>
        <v>871076.54370000004</v>
      </c>
      <c r="K28" s="82">
        <f>'Cash Flow'!O26</f>
        <v>958184.19807000004</v>
      </c>
      <c r="L28" s="82">
        <f>'Cash Flow'!P26</f>
        <v>1054002.617877</v>
      </c>
      <c r="M28" s="82">
        <f>'Cash Flow'!Q26</f>
        <v>1159402.8796647</v>
      </c>
      <c r="N28" s="52"/>
    </row>
    <row r="29" spans="1:14" ht="15" customHeight="1">
      <c r="A29" s="52"/>
      <c r="B29" s="52"/>
      <c r="C29" s="75" t="s">
        <v>184</v>
      </c>
      <c r="D29" s="52"/>
      <c r="E29" s="82">
        <f>'Cash Flow'!I27</f>
        <v>-101180.37933539954</v>
      </c>
      <c r="F29" s="82">
        <f>'Cash Flow'!J27</f>
        <v>-100983.03240374566</v>
      </c>
      <c r="G29" s="82">
        <f>'Cash Flow'!K27</f>
        <v>-111189.40239965491</v>
      </c>
      <c r="H29" s="82">
        <f>'Cash Flow'!L27</f>
        <v>-122407.96894423454</v>
      </c>
      <c r="I29" s="82">
        <f>'Cash Flow'!M27</f>
        <v>-134747.71880913759</v>
      </c>
      <c r="J29" s="82">
        <f>'Cash Flow'!N27</f>
        <v>-148330.87257707625</v>
      </c>
      <c r="K29" s="82">
        <f>'Cash Flow'!O27</f>
        <v>-163294.67009751167</v>
      </c>
      <c r="L29" s="82">
        <f>'Cash Flow'!P27</f>
        <v>-179793.41402550432</v>
      </c>
      <c r="M29" s="82">
        <f>'Cash Flow'!Q27</f>
        <v>-198000.81019553076</v>
      </c>
      <c r="N29" s="52"/>
    </row>
    <row r="30" spans="1:14" ht="15" customHeight="1">
      <c r="A30" s="52"/>
      <c r="B30" s="52"/>
      <c r="C30" s="75" t="s">
        <v>185</v>
      </c>
      <c r="D30" s="52"/>
      <c r="E30" s="82">
        <f>'Cash Flow'!I32</f>
        <v>-379520</v>
      </c>
      <c r="F30" s="82">
        <f>'Cash Flow'!J32</f>
        <v>-390906</v>
      </c>
      <c r="G30" s="82">
        <f>'Cash Flow'!K32</f>
        <v>-402633</v>
      </c>
      <c r="H30" s="82">
        <f>'Cash Flow'!L32</f>
        <v>-414712</v>
      </c>
      <c r="I30" s="82">
        <f>'Cash Flow'!M32</f>
        <v>-427153</v>
      </c>
      <c r="J30" s="82">
        <f>'Cash Flow'!N32</f>
        <v>-439968</v>
      </c>
      <c r="K30" s="82">
        <f>'Cash Flow'!O32</f>
        <v>-453167</v>
      </c>
      <c r="L30" s="82">
        <f>'Cash Flow'!P32</f>
        <v>-466762</v>
      </c>
      <c r="M30" s="82">
        <f>'Cash Flow'!Q32</f>
        <v>-480765</v>
      </c>
      <c r="N30" s="52"/>
    </row>
    <row r="31" spans="1:14" ht="1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</row>
    <row r="32" spans="1:14" ht="15" customHeight="1">
      <c r="A32" s="52"/>
      <c r="B32" s="52"/>
      <c r="C32" s="84" t="s">
        <v>186</v>
      </c>
      <c r="D32" s="85"/>
      <c r="E32" s="86">
        <f t="shared" ref="E32:M32" si="0">E25+E27+E28+E29+E30</f>
        <v>1010838.3599120099</v>
      </c>
      <c r="F32" s="86">
        <f t="shared" si="0"/>
        <v>1248041.0975579096</v>
      </c>
      <c r="G32" s="86">
        <f t="shared" si="0"/>
        <v>1500344.0661675665</v>
      </c>
      <c r="H32" s="86">
        <f t="shared" si="0"/>
        <v>1779731.2992456043</v>
      </c>
      <c r="I32" s="86">
        <f t="shared" si="0"/>
        <v>2088984.3045593766</v>
      </c>
      <c r="J32" s="86">
        <f t="shared" si="0"/>
        <v>2431206.0105750686</v>
      </c>
      <c r="K32" s="86">
        <f t="shared" si="0"/>
        <v>2809868.5462332102</v>
      </c>
      <c r="L32" s="86">
        <f t="shared" si="0"/>
        <v>3228859.5718580857</v>
      </c>
      <c r="M32" s="86">
        <f t="shared" si="0"/>
        <v>3692542.1843118789</v>
      </c>
      <c r="N32" s="52"/>
    </row>
    <row r="33" spans="1:14" ht="1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</row>
    <row r="34" spans="1:14" ht="1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</row>
    <row r="35" spans="1:14" ht="15" customHeight="1">
      <c r="A35" s="52"/>
      <c r="B35" s="52"/>
      <c r="C35" s="42" t="s">
        <v>187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52"/>
    </row>
    <row r="36" spans="1:14" ht="15" customHeight="1">
      <c r="A36" s="52"/>
      <c r="B36" s="52"/>
      <c r="C36" s="75" t="s">
        <v>188</v>
      </c>
      <c r="D36" s="52"/>
      <c r="E36" s="87">
        <v>1</v>
      </c>
      <c r="F36" s="87">
        <v>2</v>
      </c>
      <c r="G36" s="87">
        <v>3</v>
      </c>
      <c r="H36" s="87">
        <v>4</v>
      </c>
      <c r="I36" s="87">
        <v>5</v>
      </c>
      <c r="J36" s="87">
        <v>6</v>
      </c>
      <c r="K36" s="87">
        <v>7</v>
      </c>
      <c r="L36" s="87">
        <v>8</v>
      </c>
      <c r="M36" s="87">
        <v>9</v>
      </c>
      <c r="N36" s="52"/>
    </row>
    <row r="37" spans="1:14" ht="15" customHeight="1">
      <c r="A37" s="52"/>
      <c r="B37" s="52"/>
      <c r="C37" s="75" t="s">
        <v>189</v>
      </c>
      <c r="D37" s="52"/>
      <c r="E37" s="88">
        <v>0.5</v>
      </c>
      <c r="F37" s="88">
        <v>1.5</v>
      </c>
      <c r="G37" s="88">
        <v>2.5</v>
      </c>
      <c r="H37" s="88">
        <v>3.5</v>
      </c>
      <c r="I37" s="88">
        <v>4.5</v>
      </c>
      <c r="J37" s="88">
        <v>5.5</v>
      </c>
      <c r="K37" s="88">
        <v>6.5</v>
      </c>
      <c r="L37" s="88">
        <v>7.5</v>
      </c>
      <c r="M37" s="88">
        <v>8.5</v>
      </c>
      <c r="N37" s="52"/>
    </row>
    <row r="38" spans="1:14" ht="15" customHeight="1">
      <c r="A38" s="52"/>
      <c r="B38" s="52"/>
      <c r="C38" s="75" t="s">
        <v>190</v>
      </c>
      <c r="D38" s="52"/>
      <c r="E38" s="89">
        <f t="shared" ref="E38:M38" si="1">1/(1+$D$18)^E37</f>
        <v>0.95735448583190452</v>
      </c>
      <c r="F38" s="89">
        <f t="shared" si="1"/>
        <v>0.87744182029898499</v>
      </c>
      <c r="G38" s="89">
        <f t="shared" si="1"/>
        <v>0.80419965582610597</v>
      </c>
      <c r="H38" s="89">
        <f t="shared" si="1"/>
        <v>0.73707118975757757</v>
      </c>
      <c r="I38" s="89">
        <f t="shared" si="1"/>
        <v>0.67554609708527924</v>
      </c>
      <c r="J38" s="89">
        <f t="shared" si="1"/>
        <v>0.61915665084840876</v>
      </c>
      <c r="K38" s="89">
        <f t="shared" si="1"/>
        <v>0.56747416637272718</v>
      </c>
      <c r="L38" s="89">
        <f t="shared" si="1"/>
        <v>0.52010574231764994</v>
      </c>
      <c r="M38" s="89">
        <f t="shared" si="1"/>
        <v>0.47669127375591913</v>
      </c>
      <c r="N38" s="52"/>
    </row>
    <row r="39" spans="1:14" ht="15" customHeight="1">
      <c r="A39" s="52"/>
      <c r="B39" s="52"/>
      <c r="C39" s="73" t="s">
        <v>191</v>
      </c>
      <c r="D39" s="52"/>
      <c r="E39" s="90">
        <f t="shared" ref="E39:M39" si="2">E32*E38</f>
        <v>967730.63831272791</v>
      </c>
      <c r="F39" s="90">
        <f t="shared" si="2"/>
        <v>1095083.4524491553</v>
      </c>
      <c r="G39" s="90">
        <f t="shared" si="2"/>
        <v>1206576.1816326973</v>
      </c>
      <c r="H39" s="90">
        <f t="shared" si="2"/>
        <v>1311788.6661837569</v>
      </c>
      <c r="I39" s="90">
        <f t="shared" si="2"/>
        <v>1411205.193817493</v>
      </c>
      <c r="J39" s="90">
        <f t="shared" si="2"/>
        <v>1505297.3710301805</v>
      </c>
      <c r="K39" s="90">
        <f t="shared" si="2"/>
        <v>1594527.8108906378</v>
      </c>
      <c r="L39" s="90">
        <f t="shared" si="2"/>
        <v>1679348.4044606991</v>
      </c>
      <c r="M39" s="90">
        <f t="shared" si="2"/>
        <v>1760202.6372370934</v>
      </c>
      <c r="N39" s="52"/>
    </row>
    <row r="40" spans="1:14" ht="1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</row>
    <row r="41" spans="1:14" ht="1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</row>
    <row r="42" spans="1:14" ht="1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</row>
    <row r="43" spans="1:14" ht="15" customHeight="1">
      <c r="A43" s="52"/>
      <c r="B43" s="52"/>
      <c r="C43" s="42" t="s">
        <v>192</v>
      </c>
      <c r="D43" s="66"/>
      <c r="E43" s="52"/>
      <c r="F43" s="52"/>
      <c r="G43" s="52"/>
      <c r="H43" s="52"/>
      <c r="I43" s="52"/>
      <c r="J43" s="52"/>
      <c r="K43" s="52"/>
      <c r="L43" s="52"/>
      <c r="M43" s="52"/>
      <c r="N43" s="52"/>
    </row>
    <row r="44" spans="1:14" ht="15" customHeight="1">
      <c r="A44" s="52"/>
      <c r="B44" s="52"/>
      <c r="C44" s="75" t="s">
        <v>193</v>
      </c>
      <c r="D44" s="76">
        <f>CHOOSE(Cover!C17,DCF!D81,DCF!E81)</f>
        <v>0.03</v>
      </c>
      <c r="E44" s="52"/>
      <c r="F44" s="52"/>
      <c r="G44" s="52"/>
      <c r="H44" s="52"/>
      <c r="I44" s="52"/>
      <c r="J44" s="52"/>
      <c r="K44" s="52"/>
      <c r="L44" s="52"/>
      <c r="M44" s="52"/>
      <c r="N44" s="52"/>
    </row>
    <row r="45" spans="1:14" ht="15" customHeight="1">
      <c r="A45" s="52"/>
      <c r="B45" s="52"/>
      <c r="C45" s="75" t="s">
        <v>194</v>
      </c>
      <c r="D45" s="91">
        <f>M32</f>
        <v>3692542.1843118789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</row>
    <row r="46" spans="1:14" ht="15" customHeight="1">
      <c r="A46" s="52"/>
      <c r="B46" s="52"/>
      <c r="C46" s="73" t="s">
        <v>195</v>
      </c>
      <c r="D46" s="92">
        <f>D45*(1+D44)/(D18-D44)</f>
        <v>62273322.402093545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</row>
    <row r="47" spans="1:14" ht="15" customHeight="1">
      <c r="A47" s="52"/>
      <c r="B47" s="52"/>
      <c r="C47" s="75" t="s">
        <v>196</v>
      </c>
      <c r="D47" s="93">
        <f>1/(1+D18)^9</f>
        <v>0.45636252928715354</v>
      </c>
      <c r="E47" s="52"/>
      <c r="F47" s="52"/>
      <c r="G47" s="52"/>
      <c r="H47" s="52"/>
      <c r="I47" s="52"/>
      <c r="J47" s="52"/>
      <c r="K47" s="52"/>
      <c r="L47" s="52"/>
      <c r="M47" s="52"/>
      <c r="N47" s="52"/>
    </row>
    <row r="48" spans="1:14" ht="15" customHeight="1">
      <c r="A48" s="52"/>
      <c r="B48" s="52"/>
      <c r="C48" s="73" t="s">
        <v>197</v>
      </c>
      <c r="D48" s="92">
        <f>D46*D47</f>
        <v>28419210.918533769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</row>
    <row r="49" spans="1:14" ht="1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</row>
    <row r="50" spans="1:14" ht="1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</row>
    <row r="51" spans="1:14" ht="15" customHeight="1">
      <c r="A51" s="52"/>
      <c r="B51" s="52"/>
      <c r="C51" s="42" t="s">
        <v>198</v>
      </c>
      <c r="D51" s="66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14" ht="15" customHeight="1">
      <c r="A52" s="52"/>
      <c r="B52" s="52"/>
      <c r="C52" s="75" t="s">
        <v>199</v>
      </c>
      <c r="D52" s="92">
        <f>SUM(E39:M39)</f>
        <v>12531760.356014442</v>
      </c>
      <c r="E52" s="52"/>
      <c r="F52" s="52"/>
      <c r="G52" s="52"/>
      <c r="H52" s="52"/>
      <c r="I52" s="52"/>
      <c r="J52" s="52"/>
      <c r="K52" s="52"/>
      <c r="L52" s="52"/>
      <c r="M52" s="52"/>
      <c r="N52" s="52"/>
    </row>
    <row r="53" spans="1:14" ht="15" customHeight="1">
      <c r="A53" s="52"/>
      <c r="B53" s="52"/>
      <c r="C53" s="75" t="s">
        <v>200</v>
      </c>
      <c r="D53" s="92">
        <f>D48</f>
        <v>28419210.918533769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</row>
    <row r="54" spans="1:14" ht="15" customHeight="1">
      <c r="A54" s="52"/>
      <c r="B54" s="52"/>
      <c r="C54" s="73" t="s">
        <v>201</v>
      </c>
      <c r="D54" s="94">
        <f>D52+D53</f>
        <v>40950971.27454821</v>
      </c>
      <c r="E54" s="52"/>
      <c r="F54" s="52"/>
      <c r="G54" s="52"/>
      <c r="H54" s="52"/>
      <c r="I54" s="52"/>
      <c r="J54" s="52"/>
      <c r="K54" s="52"/>
      <c r="L54" s="52"/>
      <c r="M54" s="52"/>
      <c r="N54" s="52"/>
    </row>
    <row r="55" spans="1:14" ht="1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14" ht="15" customHeight="1">
      <c r="A56" s="52"/>
      <c r="B56" s="52"/>
      <c r="C56" s="75" t="s">
        <v>202</v>
      </c>
      <c r="D56" s="91">
        <f>'Balance Sheet'!H9</f>
        <v>1114860</v>
      </c>
      <c r="E56" s="52"/>
      <c r="F56" s="52"/>
      <c r="G56" s="52"/>
      <c r="H56" s="52"/>
      <c r="I56" s="52"/>
      <c r="J56" s="52"/>
      <c r="K56" s="52"/>
      <c r="L56" s="52"/>
      <c r="M56" s="52"/>
      <c r="N56" s="52"/>
    </row>
    <row r="57" spans="1:14" ht="15" customHeight="1">
      <c r="A57" s="52"/>
      <c r="B57" s="52"/>
      <c r="C57" s="75" t="s">
        <v>203</v>
      </c>
      <c r="D57" s="91">
        <f>-('Balance Sheet'!H38+'Balance Sheet'!H32)</f>
        <v>-996348</v>
      </c>
      <c r="E57" s="52"/>
      <c r="F57" s="52"/>
      <c r="G57" s="52"/>
      <c r="H57" s="52"/>
      <c r="I57" s="52"/>
      <c r="J57" s="52"/>
      <c r="K57" s="52"/>
      <c r="L57" s="52"/>
      <c r="M57" s="52"/>
      <c r="N57" s="52"/>
    </row>
    <row r="58" spans="1:14" ht="15" customHeight="1">
      <c r="A58" s="52"/>
      <c r="B58" s="52"/>
      <c r="C58" s="75" t="s">
        <v>204</v>
      </c>
      <c r="D58" s="91">
        <f>-'Balance Sheet'!H50</f>
        <v>-15</v>
      </c>
      <c r="E58" s="52"/>
      <c r="F58" s="52"/>
      <c r="G58" s="52"/>
      <c r="H58" s="52"/>
      <c r="I58" s="52"/>
      <c r="J58" s="52"/>
      <c r="K58" s="52"/>
      <c r="L58" s="52"/>
      <c r="M58" s="52"/>
      <c r="N58" s="52"/>
    </row>
    <row r="59" spans="1:14" ht="15" customHeight="1">
      <c r="A59" s="52"/>
      <c r="B59" s="52"/>
      <c r="C59" s="73" t="s">
        <v>205</v>
      </c>
      <c r="D59" s="95">
        <f>D54+D56+D57+D58</f>
        <v>41069468.27454821</v>
      </c>
      <c r="E59" s="52"/>
      <c r="F59" s="52"/>
      <c r="G59" s="52"/>
      <c r="H59" s="52"/>
      <c r="I59" s="52"/>
      <c r="J59" s="52"/>
      <c r="K59" s="52"/>
      <c r="L59" s="52"/>
      <c r="M59" s="52"/>
      <c r="N59" s="52"/>
    </row>
    <row r="60" spans="1:14" ht="1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</row>
    <row r="61" spans="1:14" ht="15" customHeight="1">
      <c r="A61" s="52"/>
      <c r="B61" s="52"/>
      <c r="C61" s="75" t="s">
        <v>206</v>
      </c>
      <c r="D61" s="79">
        <v>435.5</v>
      </c>
      <c r="E61" s="52"/>
      <c r="F61" s="52"/>
      <c r="G61" s="52"/>
      <c r="H61" s="52"/>
      <c r="I61" s="52"/>
      <c r="J61" s="52"/>
      <c r="K61" s="52"/>
      <c r="L61" s="52"/>
      <c r="M61" s="52"/>
      <c r="N61" s="52"/>
    </row>
    <row r="62" spans="1:14" ht="15.75" customHeight="1">
      <c r="A62" s="52"/>
      <c r="B62" s="52"/>
      <c r="C62" s="96" t="s">
        <v>207</v>
      </c>
      <c r="D62" s="97">
        <f>D59/(D61*1000)</f>
        <v>94.304175142475799</v>
      </c>
      <c r="E62" s="98"/>
      <c r="F62" s="52"/>
      <c r="G62" s="52"/>
      <c r="H62" s="52"/>
      <c r="I62" s="52"/>
      <c r="J62" s="52"/>
      <c r="K62" s="52"/>
      <c r="L62" s="52"/>
      <c r="M62" s="52"/>
      <c r="N62" s="52"/>
    </row>
    <row r="63" spans="1:14" ht="15" customHeight="1">
      <c r="A63" s="52"/>
      <c r="B63" s="52"/>
      <c r="C63" s="99" t="s">
        <v>208</v>
      </c>
      <c r="D63" s="100">
        <f>D62/1.4</f>
        <v>67.360125101768432</v>
      </c>
      <c r="E63" s="98"/>
      <c r="F63" s="52"/>
      <c r="G63" s="52"/>
      <c r="H63" s="52"/>
      <c r="I63" s="52"/>
      <c r="J63" s="52"/>
      <c r="K63" s="52"/>
      <c r="L63" s="52"/>
      <c r="M63" s="52"/>
      <c r="N63" s="52"/>
    </row>
    <row r="64" spans="1:14" ht="1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</row>
    <row r="65" spans="1:14" ht="15" customHeight="1">
      <c r="A65" s="52"/>
      <c r="B65" s="52"/>
      <c r="C65" s="75" t="s">
        <v>209</v>
      </c>
      <c r="D65" s="101">
        <v>139</v>
      </c>
      <c r="E65" s="52"/>
      <c r="F65" s="52"/>
      <c r="G65" s="52"/>
      <c r="H65" s="52"/>
      <c r="I65" s="63"/>
      <c r="J65" s="52"/>
      <c r="K65" s="52"/>
      <c r="L65" s="52"/>
      <c r="M65" s="52"/>
      <c r="N65" s="52"/>
    </row>
    <row r="66" spans="1:14" ht="15" customHeight="1">
      <c r="A66" s="52"/>
      <c r="B66" s="52"/>
      <c r="C66" s="75" t="s">
        <v>210</v>
      </c>
      <c r="D66" s="78">
        <f>D62/D65-1</f>
        <v>-0.32155269681672083</v>
      </c>
      <c r="E66" s="52"/>
      <c r="F66" s="52"/>
      <c r="G66" s="52"/>
      <c r="H66" s="52"/>
      <c r="I66" s="52"/>
      <c r="J66" s="52"/>
      <c r="K66" s="52"/>
      <c r="L66" s="52"/>
      <c r="M66" s="52"/>
      <c r="N66" s="52"/>
    </row>
    <row r="67" spans="1:14" ht="1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</row>
    <row r="68" spans="1:14" ht="1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</row>
    <row r="69" spans="1:14" ht="15" customHeight="1">
      <c r="A69" s="52"/>
      <c r="B69" s="52"/>
      <c r="C69" s="42" t="s">
        <v>211</v>
      </c>
      <c r="D69" s="66"/>
      <c r="E69" s="66"/>
      <c r="F69" s="66"/>
      <c r="G69" s="66"/>
      <c r="H69" s="66"/>
      <c r="I69" s="66"/>
      <c r="J69" s="66"/>
      <c r="K69" s="52"/>
      <c r="L69" s="52"/>
      <c r="M69" s="52"/>
      <c r="N69" s="52"/>
    </row>
    <row r="70" spans="1:14" ht="15" customHeight="1">
      <c r="A70" s="52"/>
      <c r="B70" s="52"/>
      <c r="C70" s="102" t="s">
        <v>212</v>
      </c>
      <c r="D70" s="103">
        <v>8.5000000000000006E-2</v>
      </c>
      <c r="E70" s="103">
        <v>0.09</v>
      </c>
      <c r="F70" s="103">
        <v>9.5000000000000001E-2</v>
      </c>
      <c r="G70" s="103">
        <v>0.1</v>
      </c>
      <c r="H70" s="103">
        <v>0.105</v>
      </c>
      <c r="I70" s="103">
        <v>0.11</v>
      </c>
      <c r="J70" s="103">
        <v>0.115</v>
      </c>
      <c r="K70" s="52"/>
      <c r="L70" s="52"/>
      <c r="M70" s="52"/>
      <c r="N70" s="52"/>
    </row>
    <row r="71" spans="1:14" ht="15" customHeight="1">
      <c r="A71" s="52"/>
      <c r="B71" s="52"/>
      <c r="C71" s="103">
        <v>0.01</v>
      </c>
      <c r="D71" s="104">
        <f>(SUMPRODUCT($E$32:$M$32,1/(1+D$70)^$E$37:$M$37)+$M$32*(1+$C71)/(D$70-$C71)/(1+D$70)^9+$D$56+$D$57+$D$58)/($D$61*1000)</f>
        <v>84.653865257565215</v>
      </c>
      <c r="E71" s="104">
        <f>(SUMPRODUCT($E$32:$M$32,1/(1+E$70)^$E$37:$M$37)+$M$32*(1+$C71)/(E$70-$C71)/(1+E$70)^9+$D$56+$D$57+$D$58)/($D$61*1000)</f>
        <v>78.475781670186393</v>
      </c>
      <c r="F71" s="104">
        <f>(SUMPRODUCT($E$32:$M$32,1/(1+F$70)^$E$37:$M$37)+$M$32*(1+$C71)/(F$70-$C71)/(1+F$70)^9+$D$56+$D$57+$D$58)/($D$61*1000)</f>
        <v>73.055405654263822</v>
      </c>
      <c r="G71" s="104">
        <f>(SUMPRODUCT($E$32:$M$32,1/(1+G$70)^$E$37:$M$37)+$M$32*(1+$C71)/(G$70-$C71)/(1+G$70)^9+$D$56+$D$57+$D$58)/($D$61*1000)</f>
        <v>68.265172909864305</v>
      </c>
      <c r="H71" s="105">
        <f>(SUMPRODUCT($E$32:$M$32,1/(1+H$70)^$E$37:$M$37)+$M$32*(1+$C71)/(H$70-$C71)/(1+H$70)^9+$D$56+$D$57+$D$58)/($D$61*1000)</f>
        <v>64.004437140180386</v>
      </c>
      <c r="I71" s="104">
        <f>(SUMPRODUCT($E$32:$M$32,1/(1+I$70)^$E$37:$M$37)+$M$32*(1+$C71)/(I$70-$C71)/(1+I$70)^9+$D$56+$D$57+$D$58)/($D$61*1000)</f>
        <v>60.192737134245874</v>
      </c>
      <c r="J71" s="104">
        <f>(SUMPRODUCT($E$32:$M$32,1/(1+J$70)^$E$37:$M$37)+$M$32*(1+$C71)/(J$70-$C71)/(1+J$70)^9+$D$56+$D$57+$D$58)/($D$61*1000)</f>
        <v>56.764987745314521</v>
      </c>
      <c r="K71" s="52"/>
      <c r="L71" s="52"/>
      <c r="M71" s="52"/>
      <c r="N71" s="52"/>
    </row>
    <row r="72" spans="1:14" ht="15" customHeight="1">
      <c r="A72" s="52"/>
      <c r="B72" s="52"/>
      <c r="C72" s="103">
        <v>1.4999999999999999E-2</v>
      </c>
      <c r="D72" s="104">
        <f>(SUMPRODUCT($E$32:$M$32,1/(1+D$70)^$E$37:$M$37)+$M$32*(1+$C72)/(D$70-$C72)/(1+D$70)^9+$D$56+$D$57+$D$58)/($D$61*1000)</f>
        <v>88.858324061953553</v>
      </c>
      <c r="E72" s="104">
        <f>(SUMPRODUCT($E$32:$M$32,1/(1+E$70)^$E$37:$M$37)+$M$32*(1+$C72)/(E$70-$C72)/(1+E$70)^9+$D$56+$D$57+$D$58)/($D$61*1000)</f>
        <v>82.021825314609188</v>
      </c>
      <c r="F72" s="104">
        <f>(SUMPRODUCT($E$32:$M$32,1/(1+F$70)^$E$37:$M$37)+$M$32*(1+$C72)/(F$70-$C72)/(1+F$70)^9+$D$56+$D$57+$D$58)/($D$61*1000)</f>
        <v>76.071781430040204</v>
      </c>
      <c r="G72" s="104">
        <f>(SUMPRODUCT($E$32:$M$32,1/(1+G$70)^$E$37:$M$37)+$M$32*(1+$C72)/(G$70-$C72)/(1+G$70)^9+$D$56+$D$57+$D$58)/($D$61*1000)</f>
        <v>70.850433906115725</v>
      </c>
      <c r="H72" s="105">
        <f>(SUMPRODUCT($E$32:$M$32,1/(1+H$70)^$E$37:$M$37)+$M$32*(1+$C72)/(H$70-$C72)/(1+H$70)^9+$D$56+$D$57+$D$58)/($D$61*1000)</f>
        <v>66.235146407726674</v>
      </c>
      <c r="I72" s="104">
        <f>(SUMPRODUCT($E$32:$M$32,1/(1+I$70)^$E$37:$M$37)+$M$32*(1+$C72)/(I$70-$C72)/(1+I$70)^9+$D$56+$D$57+$D$58)/($D$61*1000)</f>
        <v>62.129158540338189</v>
      </c>
      <c r="J72" s="104">
        <f>(SUMPRODUCT($E$32:$M$32,1/(1+J$70)^$E$37:$M$37)+$M$32*(1+$C72)/(J$70-$C72)/(1+J$70)^9+$D$56+$D$57+$D$58)/($D$61*1000)</f>
        <v>58.455113704710328</v>
      </c>
      <c r="K72" s="52"/>
      <c r="L72" s="52"/>
      <c r="M72" s="52"/>
      <c r="N72" s="52"/>
    </row>
    <row r="73" spans="1:14" ht="15" customHeight="1">
      <c r="A73" s="52"/>
      <c r="B73" s="52"/>
      <c r="C73" s="103">
        <v>0.02</v>
      </c>
      <c r="D73" s="104">
        <f>(SUMPRODUCT($E$32:$M$32,1/(1+D$70)^$E$37:$M$37)+$M$32*(1+$C73)/(D$70-$C73)/(1+D$70)^9+$D$56+$D$57+$D$58)/($D$61*1000)</f>
        <v>93.709622682401658</v>
      </c>
      <c r="E73" s="104">
        <f>(SUMPRODUCT($E$32:$M$32,1/(1+E$70)^$E$37:$M$37)+$M$32*(1+$C73)/(E$70-$C73)/(1+E$70)^9+$D$56+$D$57+$D$58)/($D$61*1000)</f>
        <v>86.074446622520981</v>
      </c>
      <c r="F73" s="104">
        <f>(SUMPRODUCT($E$32:$M$32,1/(1+F$70)^$E$37:$M$37)+$M$32*(1+$C73)/(F$70-$C73)/(1+F$70)^9+$D$56+$D$57+$D$58)/($D$61*1000)</f>
        <v>79.490340642586816</v>
      </c>
      <c r="G73" s="104">
        <f>(SUMPRODUCT($E$32:$M$32,1/(1+G$70)^$E$37:$M$37)+$M$32*(1+$C73)/(G$70-$C73)/(1+G$70)^9+$D$56+$D$57+$D$58)/($D$61*1000)</f>
        <v>73.758852526898551</v>
      </c>
      <c r="H73" s="105">
        <f>(SUMPRODUCT($E$32:$M$32,1/(1+H$70)^$E$37:$M$37)+$M$32*(1+$C73)/(H$70-$C73)/(1+H$70)^9+$D$56+$D$57+$D$58)/($D$61*1000)</f>
        <v>68.72829205969019</v>
      </c>
      <c r="I73" s="104">
        <f>(SUMPRODUCT($E$32:$M$32,1/(1+I$70)^$E$37:$M$37)+$M$32*(1+$C73)/(I$70-$C73)/(1+I$70)^9+$D$56+$D$57+$D$58)/($D$61*1000)</f>
        <v>64.280737880440768</v>
      </c>
      <c r="J73" s="104">
        <f>(SUMPRODUCT($E$32:$M$32,1/(1+J$70)^$E$37:$M$37)+$M$32*(1+$C73)/(J$70-$C73)/(1+J$70)^9+$D$56+$D$57+$D$58)/($D$61*1000)</f>
        <v>60.323147659832024</v>
      </c>
      <c r="K73" s="52"/>
      <c r="L73" s="52"/>
      <c r="M73" s="52"/>
      <c r="N73" s="52"/>
    </row>
    <row r="74" spans="1:14" ht="15" customHeight="1">
      <c r="A74" s="52"/>
      <c r="B74" s="52"/>
      <c r="C74" s="103">
        <v>2.5000000000000001E-2</v>
      </c>
      <c r="D74" s="105">
        <f>(SUMPRODUCT($E$32:$M$32,1/(1+D$70)^$E$37:$M$37)+$M$32*(1+$C74)/(D$70-$C74)/(1+D$70)^9+$D$56+$D$57+$D$58)/($D$61*1000)</f>
        <v>99.369471072924455</v>
      </c>
      <c r="E74" s="105">
        <f>(SUMPRODUCT($E$32:$M$32,1/(1+E$70)^$E$37:$M$37)+$M$32*(1+$C74)/(E$70-$C74)/(1+E$70)^9+$D$56+$D$57+$D$58)/($D$61*1000)</f>
        <v>90.75054813164995</v>
      </c>
      <c r="F74" s="105">
        <f>(SUMPRODUCT($E$32:$M$32,1/(1+F$70)^$E$37:$M$37)+$M$32*(1+$C74)/(F$70-$C74)/(1+F$70)^9+$D$56+$D$57+$D$58)/($D$61*1000)</f>
        <v>83.397265456925766</v>
      </c>
      <c r="G74" s="105">
        <f>(SUMPRODUCT($E$32:$M$32,1/(1+G$70)^$E$37:$M$37)+$M$32*(1+$C74)/(G$70-$C74)/(1+G$70)^9+$D$56+$D$57+$D$58)/($D$61*1000)</f>
        <v>77.055060297119098</v>
      </c>
      <c r="H74" s="106" cm="1">
        <f t="array" ref="H74">(SUMPRODUCT($E$32:$M$32,1/(1+H$70)^$E$37:$M$37)+$M$32*(1+$C74)/(H$70-$C74)/(1+H$70)^9+$D$56+$D$57+$D$58)/($D$61*1000)</f>
        <v>71.533080918149125</v>
      </c>
      <c r="I74" s="105">
        <f>(SUMPRODUCT($E$32:$M$32,1/(1+I$70)^$E$37:$M$37)+$M$32*(1+$C74)/(I$70-$C74)/(1+I$70)^9+$D$56+$D$57+$D$58)/($D$61*1000)</f>
        <v>66.685444201731897</v>
      </c>
      <c r="J74" s="105">
        <f>(SUMPRODUCT($E$32:$M$32,1/(1+J$70)^$E$37:$M$37)+$M$32*(1+$C74)/(J$70-$C74)/(1+J$70)^9+$D$56+$D$57+$D$58)/($D$61*1000)</f>
        <v>62.398740943300567</v>
      </c>
      <c r="K74" s="52"/>
      <c r="L74" s="52"/>
      <c r="M74" s="52"/>
      <c r="N74" s="52"/>
    </row>
    <row r="75" spans="1:14" ht="15" customHeight="1">
      <c r="A75" s="52"/>
      <c r="B75" s="52"/>
      <c r="C75" s="103">
        <v>0.03</v>
      </c>
      <c r="D75" s="104">
        <f>(SUMPRODUCT($E$32:$M$32,1/(1+D$70)^$E$37:$M$37)+$M$32*(1+$C75)/(D$70-$C75)/(1+D$70)^9+$D$56+$D$57+$D$58)/($D$61*1000)</f>
        <v>106.05838280717866</v>
      </c>
      <c r="E75" s="104">
        <f>(SUMPRODUCT($E$32:$M$32,1/(1+E$70)^$E$37:$M$37)+$M$32*(1+$C75)/(E$70-$C75)/(1+E$70)^9+$D$56+$D$57+$D$58)/($D$61*1000)</f>
        <v>96.205999892300426</v>
      </c>
      <c r="F75" s="104">
        <f>(SUMPRODUCT($E$32:$M$32,1/(1+F$70)^$E$37:$M$37)+$M$32*(1+$C75)/(F$70-$C75)/(1+F$70)^9+$D$56+$D$57+$D$58)/($D$61*1000)</f>
        <v>87.90525562731689</v>
      </c>
      <c r="G75" s="104">
        <f>(SUMPRODUCT($E$32:$M$32,1/(1+G$70)^$E$37:$M$37)+$M$32*(1+$C75)/(G$70-$C75)/(1+G$70)^9+$D$56+$D$57+$D$58)/($D$61*1000)</f>
        <v>80.822154891656879</v>
      </c>
      <c r="H75" s="105">
        <f>(SUMPRODUCT($E$32:$M$32,1/(1+H$70)^$E$37:$M$37)+$M$32*(1+$C75)/(H$70-$C75)/(1+H$70)^9+$D$56+$D$57+$D$58)/($D$61*1000)</f>
        <v>74.711841624402581</v>
      </c>
      <c r="I75" s="104">
        <f>(SUMPRODUCT($E$32:$M$32,1/(1+I$70)^$E$37:$M$37)+$M$32*(1+$C75)/(I$70-$C75)/(1+I$70)^9+$D$56+$D$57+$D$58)/($D$61*1000)</f>
        <v>69.390738813184413</v>
      </c>
      <c r="J75" s="104">
        <f>(SUMPRODUCT($E$32:$M$32,1/(1+J$70)^$E$37:$M$37)+$M$32*(1+$C75)/(J$70-$C75)/(1+J$70)^9+$D$56+$D$57+$D$58)/($D$61*1000)</f>
        <v>64.718521671883067</v>
      </c>
      <c r="K75" s="52"/>
      <c r="L75" s="52"/>
      <c r="M75" s="52"/>
      <c r="N75" s="52"/>
    </row>
    <row r="76" spans="1:14" ht="15" customHeight="1">
      <c r="A76" s="52"/>
      <c r="B76" s="52"/>
      <c r="C76" s="103">
        <v>3.5000000000000003E-2</v>
      </c>
      <c r="D76" s="104">
        <f>(SUMPRODUCT($E$32:$M$32,1/(1+D$70)^$E$37:$M$37)+$M$32*(1+$C76)/(D$70-$C76)/(1+D$70)^9+$D$56+$D$57+$D$58)/($D$61*1000)</f>
        <v>114.08507688828368</v>
      </c>
      <c r="E76" s="104">
        <f>(SUMPRODUCT($E$32:$M$32,1/(1+E$70)^$E$37:$M$37)+$M$32*(1+$C76)/(E$70-$C76)/(1+E$70)^9+$D$56+$D$57+$D$58)/($D$61*1000)</f>
        <v>102.65335197306918</v>
      </c>
      <c r="F76" s="104">
        <f>(SUMPRODUCT($E$32:$M$32,1/(1+F$70)^$E$37:$M$37)+$M$32*(1+$C76)/(F$70-$C76)/(1+F$70)^9+$D$56+$D$57+$D$58)/($D$61*1000)</f>
        <v>93.164577492773191</v>
      </c>
      <c r="G76" s="104">
        <f>(SUMPRODUCT($E$32:$M$32,1/(1+G$70)^$E$37:$M$37)+$M$32*(1+$C76)/(G$70-$C76)/(1+G$70)^9+$D$56+$D$57+$D$58)/($D$61*1000)</f>
        <v>85.16880250073892</v>
      </c>
      <c r="H76" s="105">
        <f>(SUMPRODUCT($E$32:$M$32,1/(1+H$70)^$E$37:$M$37)+$M$32*(1+$C76)/(H$70-$C76)/(1+H$70)^9+$D$56+$D$57+$D$58)/($D$61*1000)</f>
        <v>78.344711002977974</v>
      </c>
      <c r="I76" s="104">
        <f>(SUMPRODUCT($E$32:$M$32,1/(1+I$70)^$E$37:$M$37)+$M$32*(1+$C76)/(I$70-$C76)/(1+I$70)^9+$D$56+$D$57+$D$58)/($D$61*1000)</f>
        <v>72.456739372830597</v>
      </c>
      <c r="J76" s="104">
        <f>(SUMPRODUCT($E$32:$M$32,1/(1+J$70)^$E$37:$M$37)+$M$32*(1+$C76)/(J$70-$C76)/(1+J$70)^9+$D$56+$D$57+$D$58)/($D$61*1000)</f>
        <v>67.328274991538365</v>
      </c>
      <c r="K76" s="52"/>
      <c r="L76" s="52"/>
      <c r="M76" s="52"/>
      <c r="N76" s="52"/>
    </row>
    <row r="77" spans="1:14" ht="1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</row>
    <row r="78" spans="1:14" ht="15" customHeight="1">
      <c r="A78" s="52"/>
      <c r="B78" s="52"/>
      <c r="C78" s="107" t="s">
        <v>213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</row>
    <row r="79" spans="1:14" ht="1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</row>
    <row r="80" spans="1:14" ht="15" customHeight="1">
      <c r="A80" s="52"/>
      <c r="B80" s="52"/>
      <c r="C80" s="248" t="s">
        <v>514</v>
      </c>
      <c r="D80" s="253" t="s">
        <v>19</v>
      </c>
      <c r="E80" s="254" t="s">
        <v>20</v>
      </c>
      <c r="F80" s="52"/>
      <c r="G80" s="52"/>
      <c r="H80" s="52"/>
      <c r="I80" s="52"/>
      <c r="J80" s="52"/>
      <c r="K80" s="52"/>
      <c r="L80" s="52"/>
      <c r="M80" s="52"/>
      <c r="N80" s="52"/>
    </row>
    <row r="81" spans="1:14" ht="15" customHeight="1">
      <c r="A81" s="52"/>
      <c r="B81" s="52"/>
      <c r="C81" s="246" t="s">
        <v>513</v>
      </c>
      <c r="D81" s="249">
        <v>2.5000000000000001E-2</v>
      </c>
      <c r="E81" s="250">
        <v>0.03</v>
      </c>
      <c r="F81" s="52"/>
      <c r="G81" s="52"/>
      <c r="H81" s="52"/>
      <c r="I81" s="52"/>
      <c r="J81" s="52"/>
      <c r="K81" s="52"/>
      <c r="L81" s="52"/>
      <c r="M81" s="52"/>
      <c r="N81" s="52"/>
    </row>
    <row r="82" spans="1:14" ht="15" customHeight="1">
      <c r="A82" s="52"/>
      <c r="B82" s="52"/>
      <c r="C82" s="247" t="s">
        <v>515</v>
      </c>
      <c r="D82" s="251">
        <v>1.1499999999999999</v>
      </c>
      <c r="E82" s="252">
        <v>1</v>
      </c>
      <c r="F82" s="52"/>
      <c r="G82" s="52"/>
      <c r="H82" s="52"/>
      <c r="I82" s="52"/>
      <c r="J82" s="52"/>
      <c r="K82" s="52"/>
      <c r="L82" s="52"/>
      <c r="M82" s="52"/>
      <c r="N82" s="52"/>
    </row>
    <row r="83" spans="1:14" ht="1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</row>
    <row r="84" spans="1:14" ht="1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</row>
    <row r="85" spans="1:14" ht="1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</row>
    <row r="86" spans="1:14" ht="1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</row>
    <row r="87" spans="1:14" ht="1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</row>
    <row r="88" spans="1:14" ht="1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</row>
    <row r="89" spans="1:14" ht="1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1"/>
  <sheetViews>
    <sheetView showGridLines="0" zoomScale="91" zoomScaleNormal="90" workbookViewId="0">
      <selection activeCell="K24" sqref="K24"/>
    </sheetView>
  </sheetViews>
  <sheetFormatPr baseColWidth="10" defaultColWidth="10.6640625" defaultRowHeight="15"/>
  <cols>
    <col min="1" max="1" width="3.83203125" customWidth="1"/>
    <col min="2" max="2" width="62.1640625" customWidth="1"/>
    <col min="3" max="14" width="13" customWidth="1"/>
  </cols>
  <sheetData>
    <row r="1" spans="2:15" ht="1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2:15" s="3" customFormat="1" ht="15" customHeight="1">
      <c r="B2" s="108" t="s">
        <v>214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2:15" s="3" customFormat="1" ht="15" customHeight="1">
      <c r="B3" s="237" t="s">
        <v>215</v>
      </c>
      <c r="C3" s="237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2:15" s="3" customFormat="1" ht="15" customHeight="1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2:15" s="3" customFormat="1" ht="15" customHeight="1">
      <c r="B5" s="238" t="s">
        <v>216</v>
      </c>
      <c r="C5" s="238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2:15" s="3" customFormat="1" ht="15" customHeight="1">
      <c r="B6" s="28"/>
      <c r="C6" s="109" t="s">
        <v>26</v>
      </c>
      <c r="D6" s="109" t="s">
        <v>27</v>
      </c>
      <c r="E6" s="110" t="s">
        <v>217</v>
      </c>
      <c r="F6" s="109" t="s">
        <v>75</v>
      </c>
      <c r="G6" s="109" t="s">
        <v>29</v>
      </c>
      <c r="H6" s="109" t="s">
        <v>30</v>
      </c>
      <c r="I6" s="109" t="s">
        <v>31</v>
      </c>
      <c r="J6" s="109" t="s">
        <v>32</v>
      </c>
      <c r="K6" s="109" t="s">
        <v>33</v>
      </c>
      <c r="L6" s="109" t="s">
        <v>34</v>
      </c>
      <c r="M6" s="109" t="s">
        <v>35</v>
      </c>
      <c r="N6" s="109" t="s">
        <v>36</v>
      </c>
      <c r="O6" s="109" t="s">
        <v>37</v>
      </c>
    </row>
    <row r="7" spans="2:15" ht="4.5" customHeight="1">
      <c r="B7" s="111"/>
      <c r="C7" s="81"/>
      <c r="D7" s="81"/>
      <c r="E7" s="112"/>
      <c r="F7" s="81"/>
      <c r="G7" s="81"/>
      <c r="H7" s="81"/>
      <c r="I7" s="81"/>
      <c r="J7" s="81"/>
      <c r="K7" s="81"/>
      <c r="L7" s="81"/>
      <c r="M7" s="81"/>
      <c r="N7" s="81"/>
      <c r="O7" s="81"/>
    </row>
    <row r="8" spans="2:15" s="3" customFormat="1" ht="15" customHeight="1">
      <c r="B8" s="113" t="s">
        <v>218</v>
      </c>
      <c r="C8" s="114">
        <v>33.6</v>
      </c>
      <c r="D8" s="114">
        <v>33</v>
      </c>
      <c r="E8" s="115">
        <v>14.9</v>
      </c>
      <c r="F8" s="114">
        <v>30</v>
      </c>
      <c r="G8" s="116">
        <f t="shared" ref="G8:N8" si="0">$F8 + ($O8-$F8) * (COLUMN()-COLUMN($F8)) / (COLUMN($O8)-COLUMN($F8))</f>
        <v>32.466666666666669</v>
      </c>
      <c r="H8" s="116">
        <f t="shared" si="0"/>
        <v>34.933333333333337</v>
      </c>
      <c r="I8" s="116">
        <f t="shared" si="0"/>
        <v>37.4</v>
      </c>
      <c r="J8" s="116">
        <f t="shared" si="0"/>
        <v>39.866666666666667</v>
      </c>
      <c r="K8" s="116">
        <f t="shared" si="0"/>
        <v>42.333333333333336</v>
      </c>
      <c r="L8" s="116">
        <f t="shared" si="0"/>
        <v>44.800000000000004</v>
      </c>
      <c r="M8" s="116">
        <f t="shared" si="0"/>
        <v>47.266666666666666</v>
      </c>
      <c r="N8" s="116">
        <f t="shared" si="0"/>
        <v>49.733333333333334</v>
      </c>
      <c r="O8" s="117">
        <f>C26</f>
        <v>52.2</v>
      </c>
    </row>
    <row r="9" spans="2:15" s="3" customFormat="1" ht="15" customHeight="1">
      <c r="B9" s="113" t="s">
        <v>219</v>
      </c>
      <c r="C9" s="118" t="str">
        <f>C34</f>
        <v xml:space="preserve"> </v>
      </c>
      <c r="D9" s="118">
        <f>D34</f>
        <v>88.36404554114516</v>
      </c>
      <c r="E9" s="119">
        <v>92.15</v>
      </c>
      <c r="F9" s="118">
        <f t="shared" ref="F9:O9" si="1">F34</f>
        <v>93.555568412595548</v>
      </c>
      <c r="G9" s="118">
        <f t="shared" si="1"/>
        <v>98.869121833225321</v>
      </c>
      <c r="H9" s="118">
        <f t="shared" si="1"/>
        <v>104.4801416748866</v>
      </c>
      <c r="I9" s="118">
        <f t="shared" si="1"/>
        <v>110.40509069613096</v>
      </c>
      <c r="J9" s="118">
        <f t="shared" si="1"/>
        <v>116.66133426531249</v>
      </c>
      <c r="K9" s="118">
        <f t="shared" si="1"/>
        <v>123.26718946467184</v>
      </c>
      <c r="L9" s="118">
        <f t="shared" si="1"/>
        <v>130.24197684830386</v>
      </c>
      <c r="M9" s="118">
        <f t="shared" si="1"/>
        <v>137.60607499663743</v>
      </c>
      <c r="N9" s="118">
        <f t="shared" si="1"/>
        <v>145.38097801768359</v>
      </c>
      <c r="O9" s="118">
        <f t="shared" si="1"/>
        <v>153.58935615334275</v>
      </c>
    </row>
    <row r="10" spans="2:15" s="3" customFormat="1" ht="15" customHeight="1">
      <c r="B10" s="108" t="s">
        <v>220</v>
      </c>
      <c r="C10" s="120">
        <v>2677000</v>
      </c>
      <c r="D10" s="120">
        <v>2874000</v>
      </c>
      <c r="E10" s="121">
        <v>1370000</v>
      </c>
      <c r="F10" s="120">
        <f t="shared" ref="F10:O10" si="2">F8*F9*1000</f>
        <v>2806667.0523778666</v>
      </c>
      <c r="G10" s="120">
        <f t="shared" si="2"/>
        <v>3209950.8221853822</v>
      </c>
      <c r="H10" s="120">
        <f t="shared" si="2"/>
        <v>3649839.6158427056</v>
      </c>
      <c r="I10" s="120">
        <f t="shared" si="2"/>
        <v>4129150.392035298</v>
      </c>
      <c r="J10" s="120">
        <f t="shared" si="2"/>
        <v>4650898.5260437913</v>
      </c>
      <c r="K10" s="120">
        <f t="shared" si="2"/>
        <v>5218311.0206711078</v>
      </c>
      <c r="L10" s="120">
        <f t="shared" si="2"/>
        <v>5834840.5628040135</v>
      </c>
      <c r="M10" s="120">
        <f t="shared" si="2"/>
        <v>6504180.4781743959</v>
      </c>
      <c r="N10" s="120">
        <f t="shared" si="2"/>
        <v>7230280.6400794648</v>
      </c>
      <c r="O10" s="120">
        <f t="shared" si="2"/>
        <v>8017364.3912044922</v>
      </c>
    </row>
    <row r="11" spans="2:15" s="3" customFormat="1" ht="15" customHeight="1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</row>
    <row r="12" spans="2:15" s="3" customFormat="1" ht="15" customHeight="1">
      <c r="B12" s="239" t="s">
        <v>221</v>
      </c>
      <c r="C12" s="239"/>
      <c r="D12" s="239"/>
      <c r="E12" s="239"/>
      <c r="F12" s="239"/>
      <c r="G12" s="239"/>
      <c r="H12" s="239"/>
      <c r="I12" s="52"/>
      <c r="J12" s="52"/>
      <c r="K12" s="52"/>
      <c r="L12" s="52"/>
      <c r="M12" s="52"/>
      <c r="N12" s="52"/>
      <c r="O12" s="52"/>
    </row>
    <row r="13" spans="2:15" s="3" customFormat="1" ht="15" customHeight="1">
      <c r="B13" s="122"/>
      <c r="C13" s="109" t="s">
        <v>23</v>
      </c>
      <c r="D13" s="109" t="s">
        <v>24</v>
      </c>
      <c r="E13" s="109" t="s">
        <v>25</v>
      </c>
      <c r="F13" s="109" t="s">
        <v>26</v>
      </c>
      <c r="G13" s="109" t="s">
        <v>27</v>
      </c>
      <c r="H13" s="123" t="s">
        <v>222</v>
      </c>
      <c r="I13" s="109" t="s">
        <v>75</v>
      </c>
      <c r="J13" s="52"/>
      <c r="K13" s="52"/>
      <c r="L13" s="52"/>
      <c r="M13" s="52"/>
      <c r="N13" s="52"/>
      <c r="O13" s="52"/>
    </row>
    <row r="14" spans="2:15" ht="4.5" customHeight="1">
      <c r="B14" s="51"/>
      <c r="C14" s="1"/>
      <c r="D14" s="1"/>
      <c r="E14" s="1"/>
      <c r="F14" s="1"/>
      <c r="G14" s="1"/>
      <c r="H14" s="124"/>
      <c r="I14" s="1"/>
      <c r="J14" s="52"/>
      <c r="K14" s="52"/>
      <c r="L14" s="52"/>
      <c r="M14" s="52"/>
      <c r="N14" s="52"/>
      <c r="O14" s="52"/>
    </row>
    <row r="15" spans="2:15" s="3" customFormat="1" ht="15" customHeight="1">
      <c r="B15" s="32" t="s">
        <v>223</v>
      </c>
      <c r="C15" s="125">
        <v>43.34</v>
      </c>
      <c r="D15" s="125">
        <v>57.85</v>
      </c>
      <c r="E15" s="125">
        <v>67.31</v>
      </c>
      <c r="F15" s="125">
        <v>79.7</v>
      </c>
      <c r="G15" s="125">
        <v>87</v>
      </c>
      <c r="H15" s="125">
        <v>92.15</v>
      </c>
      <c r="I15" s="125">
        <v>92</v>
      </c>
      <c r="J15" s="52"/>
      <c r="K15" s="52"/>
      <c r="L15" s="52"/>
      <c r="M15" s="52"/>
      <c r="N15" s="52"/>
      <c r="O15" s="52"/>
    </row>
    <row r="16" spans="2:15" s="3" customFormat="1" ht="15" customHeight="1">
      <c r="B16" s="126" t="s">
        <v>224</v>
      </c>
      <c r="C16" s="127">
        <v>1.254</v>
      </c>
      <c r="D16" s="127">
        <v>1.3009999999999999</v>
      </c>
      <c r="E16" s="127">
        <v>1.349</v>
      </c>
      <c r="F16" s="127">
        <v>1.36</v>
      </c>
      <c r="G16" s="127">
        <v>1.4</v>
      </c>
      <c r="H16" s="127">
        <v>1.4</v>
      </c>
      <c r="I16" s="127">
        <v>1.4</v>
      </c>
      <c r="J16" s="52"/>
      <c r="K16" s="52"/>
      <c r="L16" s="52"/>
      <c r="M16" s="52"/>
      <c r="N16" s="52"/>
      <c r="O16" s="52"/>
    </row>
    <row r="17" spans="2:15" s="3" customFormat="1" ht="15" customHeight="1">
      <c r="B17" s="32" t="s">
        <v>225</v>
      </c>
      <c r="C17" s="118">
        <f t="shared" ref="C17:I17" si="3">C15/C16</f>
        <v>34.561403508771932</v>
      </c>
      <c r="D17" s="118">
        <f t="shared" si="3"/>
        <v>44.465795541890856</v>
      </c>
      <c r="E17" s="118">
        <f t="shared" si="3"/>
        <v>49.896219421793923</v>
      </c>
      <c r="F17" s="118">
        <f t="shared" si="3"/>
        <v>58.602941176470587</v>
      </c>
      <c r="G17" s="118">
        <f t="shared" si="3"/>
        <v>62.142857142857146</v>
      </c>
      <c r="H17" s="118">
        <f t="shared" si="3"/>
        <v>65.821428571428584</v>
      </c>
      <c r="I17" s="118">
        <f t="shared" si="3"/>
        <v>65.714285714285722</v>
      </c>
      <c r="J17" s="52"/>
      <c r="K17" s="52"/>
      <c r="L17" s="52"/>
      <c r="M17" s="52"/>
      <c r="N17" s="52"/>
      <c r="O17" s="52"/>
    </row>
    <row r="18" spans="2:15" s="3" customFormat="1" ht="15" customHeight="1">
      <c r="B18" s="32" t="s">
        <v>226</v>
      </c>
      <c r="C18" s="125">
        <v>33</v>
      </c>
      <c r="D18" s="125">
        <v>49</v>
      </c>
      <c r="E18" s="125">
        <v>55</v>
      </c>
      <c r="F18" s="118">
        <f>C31</f>
        <v>73.5</v>
      </c>
      <c r="G18" s="118">
        <f>D31</f>
        <v>81.7</v>
      </c>
      <c r="H18" s="118">
        <f>E31</f>
        <v>86.5</v>
      </c>
      <c r="I18" s="118">
        <f>F31</f>
        <v>86.5</v>
      </c>
      <c r="J18" s="52"/>
      <c r="K18" s="52"/>
      <c r="L18" s="52"/>
      <c r="M18" s="52"/>
      <c r="N18" s="52"/>
      <c r="O18" s="52"/>
    </row>
    <row r="19" spans="2:15" s="3" customFormat="1" ht="15" customHeight="1">
      <c r="B19" s="32" t="s">
        <v>227</v>
      </c>
      <c r="C19" s="128">
        <f t="shared" ref="C19:I19" si="4">(C17-C18)/C18</f>
        <v>4.7315257841573685E-2</v>
      </c>
      <c r="D19" s="128">
        <f t="shared" si="4"/>
        <v>-9.2534784859370292E-2</v>
      </c>
      <c r="E19" s="128">
        <f t="shared" si="4"/>
        <v>-9.279601051283777E-2</v>
      </c>
      <c r="F19" s="128">
        <f t="shared" si="4"/>
        <v>-0.2026810724289716</v>
      </c>
      <c r="G19" s="128">
        <f t="shared" si="4"/>
        <v>-0.23937751355132014</v>
      </c>
      <c r="H19" s="128">
        <f t="shared" si="4"/>
        <v>-0.23905862923203949</v>
      </c>
      <c r="I19" s="128">
        <f t="shared" si="4"/>
        <v>-0.24029727497935582</v>
      </c>
      <c r="J19" s="52"/>
      <c r="K19" s="52"/>
      <c r="L19" s="52"/>
      <c r="M19" s="52"/>
      <c r="N19" s="52"/>
      <c r="O19" s="52"/>
    </row>
    <row r="20" spans="2:15" s="3" customFormat="1" ht="15" customHeight="1">
      <c r="B20" s="52"/>
      <c r="C20" s="52"/>
      <c r="D20" s="52"/>
      <c r="E20" s="52"/>
      <c r="F20" s="52"/>
      <c r="G20" s="52"/>
      <c r="H20" s="129"/>
      <c r="I20" s="52"/>
      <c r="J20" s="52"/>
      <c r="K20" s="52"/>
      <c r="L20" s="52"/>
      <c r="M20" s="52"/>
      <c r="N20" s="52"/>
      <c r="O20" s="52"/>
    </row>
    <row r="21" spans="2:15" s="3" customFormat="1" ht="15" customHeight="1">
      <c r="B21" s="130" t="s">
        <v>228</v>
      </c>
      <c r="C21" s="255">
        <f>AVERAGE(I19,F19:G19)</f>
        <v>-0.22745195365321588</v>
      </c>
      <c r="D21" s="52"/>
      <c r="E21" s="52"/>
      <c r="F21" s="52"/>
      <c r="G21" s="52"/>
      <c r="H21" s="131"/>
      <c r="I21" s="52"/>
      <c r="J21" s="52"/>
      <c r="K21" s="52"/>
      <c r="L21" s="52"/>
      <c r="M21" s="52"/>
      <c r="N21" s="52"/>
      <c r="O21" s="52"/>
    </row>
    <row r="22" spans="2:15" s="3" customFormat="1" ht="15" customHeight="1">
      <c r="B22" s="130" t="s">
        <v>229</v>
      </c>
      <c r="C22" s="255">
        <v>0.05</v>
      </c>
      <c r="D22" s="52"/>
      <c r="E22" s="52"/>
      <c r="F22" s="52"/>
      <c r="G22" s="52"/>
      <c r="H22" s="132"/>
      <c r="I22" s="52"/>
      <c r="J22" s="52"/>
      <c r="K22" s="52"/>
      <c r="L22" s="52"/>
      <c r="M22" s="52"/>
      <c r="N22" s="52"/>
      <c r="O22" s="52"/>
    </row>
    <row r="23" spans="2:15" s="3" customFormat="1" ht="15" customHeight="1">
      <c r="B23" s="130" t="s">
        <v>230</v>
      </c>
      <c r="C23" s="256">
        <v>261</v>
      </c>
      <c r="D23" s="52"/>
      <c r="E23" s="52"/>
      <c r="F23" s="52"/>
      <c r="G23" s="52"/>
      <c r="H23" s="132"/>
      <c r="I23" s="52"/>
      <c r="J23" s="52"/>
      <c r="K23" s="52"/>
      <c r="L23" s="52"/>
      <c r="M23" s="52"/>
      <c r="N23" s="52"/>
      <c r="O23" s="52"/>
    </row>
    <row r="24" spans="2:15" s="3" customFormat="1" ht="15" customHeight="1">
      <c r="B24" s="130" t="s">
        <v>511</v>
      </c>
      <c r="C24" s="257">
        <v>0.13</v>
      </c>
      <c r="D24" s="52"/>
      <c r="E24" s="52"/>
      <c r="F24" s="52"/>
      <c r="G24" s="52"/>
      <c r="H24" s="132"/>
      <c r="I24" s="52"/>
      <c r="J24" s="52"/>
      <c r="K24" s="52"/>
      <c r="L24" s="52"/>
      <c r="M24" s="52"/>
      <c r="N24" s="52"/>
      <c r="O24" s="52"/>
    </row>
    <row r="25" spans="2:15" s="3" customFormat="1" ht="15" customHeight="1">
      <c r="B25" s="130" t="s">
        <v>510</v>
      </c>
      <c r="C25" s="257">
        <v>0.2</v>
      </c>
      <c r="D25" s="52"/>
      <c r="E25" s="52"/>
      <c r="F25" s="52"/>
      <c r="G25" s="52"/>
      <c r="H25" s="132"/>
      <c r="I25" s="52"/>
      <c r="J25" s="52"/>
      <c r="K25" s="52"/>
      <c r="L25" s="52"/>
      <c r="M25" s="52"/>
      <c r="N25" s="52"/>
      <c r="O25" s="52"/>
    </row>
    <row r="26" spans="2:15" s="3" customFormat="1" ht="15" customHeight="1">
      <c r="B26" s="130" t="s">
        <v>231</v>
      </c>
      <c r="C26" s="258">
        <f>CHOOSE(Cover!C17,'Uranium Spot Rate'!C24*'Uranium Spot Rate'!C23,'Uranium Spot Rate'!C25*'Uranium Spot Rate'!C23)</f>
        <v>52.2</v>
      </c>
      <c r="D26" s="52"/>
      <c r="E26" s="52"/>
      <c r="F26" s="52"/>
      <c r="G26" s="52"/>
      <c r="H26" s="132"/>
      <c r="I26" s="52"/>
      <c r="J26" s="52"/>
      <c r="K26" s="52"/>
      <c r="L26" s="52"/>
      <c r="M26" s="52"/>
      <c r="N26" s="52"/>
      <c r="O26" s="52"/>
    </row>
    <row r="27" spans="2:15" s="3" customFormat="1" ht="15" customHeight="1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</row>
    <row r="28" spans="2:15" s="3" customFormat="1" ht="15" customHeight="1">
      <c r="B28" s="239" t="s">
        <v>232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52"/>
    </row>
    <row r="29" spans="2:15" s="3" customFormat="1" ht="15" customHeight="1">
      <c r="B29" s="122"/>
      <c r="C29" s="109" t="s">
        <v>26</v>
      </c>
      <c r="D29" s="109" t="s">
        <v>27</v>
      </c>
      <c r="E29" s="109" t="s">
        <v>217</v>
      </c>
      <c r="F29" s="109" t="s">
        <v>75</v>
      </c>
      <c r="G29" s="109" t="s">
        <v>29</v>
      </c>
      <c r="H29" s="109" t="s">
        <v>30</v>
      </c>
      <c r="I29" s="109" t="s">
        <v>31</v>
      </c>
      <c r="J29" s="109" t="s">
        <v>32</v>
      </c>
      <c r="K29" s="109" t="s">
        <v>33</v>
      </c>
      <c r="L29" s="109" t="s">
        <v>34</v>
      </c>
      <c r="M29" s="109" t="s">
        <v>35</v>
      </c>
      <c r="N29" s="109" t="s">
        <v>36</v>
      </c>
      <c r="O29" s="109" t="s">
        <v>37</v>
      </c>
    </row>
    <row r="30" spans="2:15" ht="4.5" customHeight="1">
      <c r="B30" s="5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s="3" customFormat="1" ht="15" customHeight="1">
      <c r="B31" s="32" t="s">
        <v>233</v>
      </c>
      <c r="C31" s="125">
        <v>73.5</v>
      </c>
      <c r="D31" s="125">
        <v>81.7</v>
      </c>
      <c r="E31" s="125">
        <v>86.5</v>
      </c>
      <c r="F31" s="125">
        <v>86.5</v>
      </c>
      <c r="G31" s="118">
        <f t="shared" ref="G31:O31" si="5">F31+(F31*$C$22)</f>
        <v>90.825000000000003</v>
      </c>
      <c r="H31" s="118">
        <f t="shared" si="5"/>
        <v>95.366250000000008</v>
      </c>
      <c r="I31" s="118">
        <f t="shared" si="5"/>
        <v>100.13456250000002</v>
      </c>
      <c r="J31" s="118">
        <f t="shared" si="5"/>
        <v>105.14129062500001</v>
      </c>
      <c r="K31" s="118">
        <f t="shared" si="5"/>
        <v>110.39835515625001</v>
      </c>
      <c r="L31" s="118">
        <f t="shared" si="5"/>
        <v>115.9182729140625</v>
      </c>
      <c r="M31" s="118">
        <f t="shared" si="5"/>
        <v>121.71418655976562</v>
      </c>
      <c r="N31" s="118">
        <f t="shared" si="5"/>
        <v>127.79989588775391</v>
      </c>
      <c r="O31" s="118">
        <f t="shared" si="5"/>
        <v>134.18989068214159</v>
      </c>
    </row>
    <row r="32" spans="2:15" s="133" customFormat="1" ht="15" customHeight="1">
      <c r="B32" s="134" t="s">
        <v>234</v>
      </c>
      <c r="C32" s="135">
        <f>$C$21</f>
        <v>-0.22745195365321588</v>
      </c>
      <c r="D32" s="135">
        <f>$C$21</f>
        <v>-0.22745195365321588</v>
      </c>
      <c r="E32" s="135">
        <f>$C$21</f>
        <v>-0.22745195365321588</v>
      </c>
      <c r="F32" s="135">
        <f>$C$21-F27%</f>
        <v>-0.22745195365321588</v>
      </c>
      <c r="G32" s="135">
        <f t="shared" ref="G32:O32" si="6">F32+0.5%</f>
        <v>-0.22245195365321588</v>
      </c>
      <c r="H32" s="135">
        <f t="shared" si="6"/>
        <v>-0.21745195365321587</v>
      </c>
      <c r="I32" s="135">
        <f t="shared" si="6"/>
        <v>-0.21245195365321587</v>
      </c>
      <c r="J32" s="135">
        <f t="shared" si="6"/>
        <v>-0.20745195365321586</v>
      </c>
      <c r="K32" s="135">
        <f t="shared" si="6"/>
        <v>-0.20245195365321586</v>
      </c>
      <c r="L32" s="135">
        <f t="shared" si="6"/>
        <v>-0.19745195365321586</v>
      </c>
      <c r="M32" s="135">
        <f t="shared" si="6"/>
        <v>-0.19245195365321585</v>
      </c>
      <c r="N32" s="135">
        <f t="shared" si="6"/>
        <v>-0.18745195365321585</v>
      </c>
      <c r="O32" s="135">
        <f t="shared" si="6"/>
        <v>-0.18245195365321584</v>
      </c>
    </row>
    <row r="33" spans="2:15" s="3" customFormat="1" ht="15" customHeight="1">
      <c r="B33" s="136" t="s">
        <v>235</v>
      </c>
      <c r="C33" s="137">
        <f t="shared" ref="C33:O33" si="7">C31*(1+C32)</f>
        <v>56.782281406488629</v>
      </c>
      <c r="D33" s="137">
        <f t="shared" si="7"/>
        <v>63.11717538653226</v>
      </c>
      <c r="E33" s="137">
        <f t="shared" si="7"/>
        <v>66.825406008996822</v>
      </c>
      <c r="F33" s="137">
        <f t="shared" si="7"/>
        <v>66.825406008996822</v>
      </c>
      <c r="G33" s="137">
        <f t="shared" si="7"/>
        <v>70.620801309446662</v>
      </c>
      <c r="H33" s="137">
        <f t="shared" si="7"/>
        <v>74.628672624919005</v>
      </c>
      <c r="I33" s="137">
        <f t="shared" si="7"/>
        <v>78.860779068664968</v>
      </c>
      <c r="J33" s="137">
        <f t="shared" si="7"/>
        <v>83.329524475223209</v>
      </c>
      <c r="K33" s="137">
        <f t="shared" si="7"/>
        <v>88.047992474765607</v>
      </c>
      <c r="L33" s="137">
        <f t="shared" si="7"/>
        <v>93.029983463074203</v>
      </c>
      <c r="M33" s="137">
        <f t="shared" si="7"/>
        <v>98.290053569026739</v>
      </c>
      <c r="N33" s="137">
        <f t="shared" si="7"/>
        <v>103.84355572691685</v>
      </c>
      <c r="O33" s="137">
        <f t="shared" si="7"/>
        <v>109.7066829666734</v>
      </c>
    </row>
    <row r="34" spans="2:15" s="3" customFormat="1" ht="15" customHeight="1">
      <c r="B34" s="2" t="s">
        <v>236</v>
      </c>
      <c r="C34" s="138" t="s">
        <v>516</v>
      </c>
      <c r="D34" s="259">
        <f t="shared" ref="C34:O34" si="8">D33*1.4</f>
        <v>88.36404554114516</v>
      </c>
      <c r="E34" s="259">
        <f t="shared" si="8"/>
        <v>93.555568412595548</v>
      </c>
      <c r="F34" s="259">
        <f t="shared" si="8"/>
        <v>93.555568412595548</v>
      </c>
      <c r="G34" s="259">
        <f t="shared" si="8"/>
        <v>98.869121833225321</v>
      </c>
      <c r="H34" s="259">
        <f t="shared" si="8"/>
        <v>104.4801416748866</v>
      </c>
      <c r="I34" s="259">
        <f t="shared" si="8"/>
        <v>110.40509069613096</v>
      </c>
      <c r="J34" s="259">
        <f t="shared" si="8"/>
        <v>116.66133426531249</v>
      </c>
      <c r="K34" s="259">
        <f t="shared" si="8"/>
        <v>123.26718946467184</v>
      </c>
      <c r="L34" s="259">
        <f t="shared" si="8"/>
        <v>130.24197684830386</v>
      </c>
      <c r="M34" s="259">
        <f t="shared" si="8"/>
        <v>137.60607499663743</v>
      </c>
      <c r="N34" s="259">
        <f t="shared" si="8"/>
        <v>145.38097801768359</v>
      </c>
      <c r="O34" s="259">
        <f t="shared" si="8"/>
        <v>153.58935615334275</v>
      </c>
    </row>
    <row r="35" spans="2:15" s="3" customFormat="1" ht="15" customHeight="1">
      <c r="B35" s="139"/>
      <c r="C35" s="14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</row>
    <row r="36" spans="2:15" s="3" customFormat="1" ht="15" customHeight="1">
      <c r="B36" s="139"/>
      <c r="C36" s="140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60"/>
    </row>
    <row r="37" spans="2:15" ht="15" customHeight="1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</row>
    <row r="38" spans="2:15" ht="15" customHeight="1">
      <c r="B38" s="52"/>
      <c r="C38" s="141"/>
      <c r="D38" s="141"/>
      <c r="E38" s="141"/>
      <c r="F38" s="52"/>
      <c r="G38" s="52"/>
      <c r="H38" s="52"/>
      <c r="I38" s="52"/>
      <c r="J38" s="52"/>
      <c r="K38" s="52"/>
      <c r="L38" s="52"/>
      <c r="M38" s="52"/>
      <c r="N38" s="52"/>
      <c r="O38" s="52"/>
    </row>
    <row r="39" spans="2:15" ht="1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</row>
    <row r="41" spans="2:15" ht="15" customHeight="1">
      <c r="C41" s="142"/>
      <c r="D41" t="s">
        <v>237</v>
      </c>
    </row>
  </sheetData>
  <mergeCells count="4">
    <mergeCell ref="B3:C3"/>
    <mergeCell ref="B5:C5"/>
    <mergeCell ref="B12:H12"/>
    <mergeCell ref="B28:N2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4"/>
  <sheetViews>
    <sheetView showGridLines="0" zoomScaleNormal="75" workbookViewId="0">
      <selection activeCell="B23" sqref="B23"/>
    </sheetView>
  </sheetViews>
  <sheetFormatPr baseColWidth="10" defaultColWidth="8.6640625" defaultRowHeight="15"/>
  <cols>
    <col min="1" max="1" width="2" customWidth="1"/>
    <col min="2" max="12" width="15.83203125" customWidth="1"/>
    <col min="13" max="17" width="14" customWidth="1"/>
  </cols>
  <sheetData>
    <row r="1" spans="1:17" ht="15" customHeight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4"/>
      <c r="N1" s="144"/>
      <c r="O1" s="144"/>
      <c r="P1" s="144"/>
      <c r="Q1" s="144"/>
    </row>
    <row r="2" spans="1:17" ht="15" customHeight="1">
      <c r="A2" s="143"/>
      <c r="B2" s="38" t="s">
        <v>238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  <c r="N2" s="144"/>
      <c r="O2" s="144"/>
      <c r="P2" s="144"/>
      <c r="Q2" s="144"/>
    </row>
    <row r="3" spans="1:17" ht="15" customHeight="1">
      <c r="A3" s="143"/>
      <c r="B3" s="32" t="s">
        <v>239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4"/>
      <c r="N3" s="144"/>
      <c r="O3" s="144"/>
      <c r="P3" s="144"/>
      <c r="Q3" s="144"/>
    </row>
    <row r="4" spans="1:17" ht="15" customHeight="1">
      <c r="A4" s="143"/>
      <c r="B4" s="32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4"/>
      <c r="N4" s="144"/>
      <c r="O4" s="144"/>
      <c r="P4" s="144"/>
      <c r="Q4" s="144"/>
    </row>
    <row r="5" spans="1:17" ht="15" customHeight="1">
      <c r="A5" s="143"/>
      <c r="B5" s="32"/>
      <c r="C5" s="143"/>
      <c r="D5" s="143"/>
      <c r="E5" s="1" t="s">
        <v>27</v>
      </c>
      <c r="F5" s="1" t="s">
        <v>75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44"/>
      <c r="Q5" s="144"/>
    </row>
    <row r="6" spans="1:17" ht="4.5" customHeight="1">
      <c r="A6" s="143"/>
      <c r="B6" s="32"/>
      <c r="C6" s="143"/>
      <c r="D6" s="14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144"/>
      <c r="Q6" s="144"/>
    </row>
    <row r="7" spans="1:17" ht="15" customHeight="1">
      <c r="A7" s="143"/>
      <c r="B7" s="27" t="s">
        <v>240</v>
      </c>
      <c r="C7" s="122"/>
      <c r="D7" s="122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4"/>
      <c r="Q7" s="144"/>
    </row>
    <row r="8" spans="1:17" ht="15" customHeight="1">
      <c r="A8" s="143"/>
      <c r="B8" s="146" t="s">
        <v>241</v>
      </c>
      <c r="C8" s="143"/>
      <c r="D8" s="143"/>
      <c r="E8" s="147">
        <f>'Income Statement'!H36</f>
        <v>216386</v>
      </c>
      <c r="F8" s="148">
        <f>'2026 Interim'!E24*2</f>
        <v>148952</v>
      </c>
      <c r="G8" s="148">
        <f>G10*G9</f>
        <v>163847.20000000001</v>
      </c>
      <c r="H8" s="148">
        <f t="shared" ref="H8:O8" si="0">H10*H9</f>
        <v>180231.92</v>
      </c>
      <c r="I8" s="148">
        <f t="shared" si="0"/>
        <v>224028.27656</v>
      </c>
      <c r="J8" s="148">
        <f t="shared" si="0"/>
        <v>253151.9525128</v>
      </c>
      <c r="K8" s="148">
        <f t="shared" si="0"/>
        <v>286061.70633946394</v>
      </c>
      <c r="L8" s="148">
        <f t="shared" si="0"/>
        <v>361998.08656775794</v>
      </c>
      <c r="M8" s="148">
        <f t="shared" si="0"/>
        <v>419917.7804185992</v>
      </c>
      <c r="N8" s="148">
        <f t="shared" si="0"/>
        <v>487104.62528557499</v>
      </c>
      <c r="O8" s="148">
        <f t="shared" si="0"/>
        <v>565041.36533126701</v>
      </c>
      <c r="P8" s="144"/>
      <c r="Q8" s="144"/>
    </row>
    <row r="9" spans="1:17" ht="15" customHeight="1">
      <c r="A9" s="143"/>
      <c r="B9" s="32" t="s">
        <v>242</v>
      </c>
      <c r="C9" s="143"/>
      <c r="D9" s="143"/>
      <c r="E9" s="149">
        <f>IFERROR(E8/E10,"-")</f>
        <v>0.27741794871794873</v>
      </c>
      <c r="F9" s="149">
        <f>CHOOSE(Cover!C17,$B$19,$C$19)</f>
        <v>0.3</v>
      </c>
      <c r="G9" s="149">
        <f>CHOOSE(Cover!C17,$B$19,$C$19)</f>
        <v>0.3</v>
      </c>
      <c r="H9" s="149">
        <f>CHOOSE(Cover!C17,$B$19,$C$19)</f>
        <v>0.3</v>
      </c>
      <c r="I9" s="149">
        <f>CHOOSE(Cover!C17,$B$20,$C$20)</f>
        <v>0.33</v>
      </c>
      <c r="J9" s="149">
        <f>CHOOSE(Cover!C17,$B$20,$C$20)</f>
        <v>0.33</v>
      </c>
      <c r="K9" s="149">
        <f>CHOOSE(Cover!C17,$B$20,$C$20)</f>
        <v>0.33</v>
      </c>
      <c r="L9" s="149">
        <f>CHOOSE(Cover!C17,$B$21,$C$21)</f>
        <v>0.36</v>
      </c>
      <c r="M9" s="149">
        <f>CHOOSE(Cover!C17,$B$21,$C$21)</f>
        <v>0.36</v>
      </c>
      <c r="N9" s="149">
        <f>CHOOSE(Cover!C17,$B$21,$C$21)</f>
        <v>0.36</v>
      </c>
      <c r="O9" s="149">
        <f>CHOOSE(Cover!C17,$B$21,$C$21)</f>
        <v>0.36</v>
      </c>
      <c r="P9" s="144"/>
      <c r="Q9" s="144"/>
    </row>
    <row r="10" spans="1:17" ht="15" customHeight="1">
      <c r="A10" s="143"/>
      <c r="B10" s="32" t="s">
        <v>243</v>
      </c>
      <c r="C10" s="143"/>
      <c r="D10" s="143"/>
      <c r="E10" s="33">
        <v>780000</v>
      </c>
      <c r="F10" s="45">
        <f>F8/F9</f>
        <v>496506.66666666669</v>
      </c>
      <c r="G10" s="45">
        <f t="shared" ref="G10:O10" si="1">F10*(1+G11)</f>
        <v>546157.33333333337</v>
      </c>
      <c r="H10" s="45">
        <f t="shared" si="1"/>
        <v>600773.06666666677</v>
      </c>
      <c r="I10" s="45">
        <f t="shared" si="1"/>
        <v>678873.56533333333</v>
      </c>
      <c r="J10" s="45">
        <f t="shared" si="1"/>
        <v>767127.12882666662</v>
      </c>
      <c r="K10" s="45">
        <f t="shared" si="1"/>
        <v>866853.65557413315</v>
      </c>
      <c r="L10" s="45">
        <f t="shared" si="1"/>
        <v>1005550.2404659943</v>
      </c>
      <c r="M10" s="45">
        <f t="shared" si="1"/>
        <v>1166438.2789405533</v>
      </c>
      <c r="N10" s="45">
        <f t="shared" si="1"/>
        <v>1353068.4035710418</v>
      </c>
      <c r="O10" s="45">
        <f t="shared" si="1"/>
        <v>1569559.3481424083</v>
      </c>
      <c r="P10" s="144"/>
      <c r="Q10" s="144"/>
    </row>
    <row r="11" spans="1:17" ht="15" customHeight="1">
      <c r="A11" s="143"/>
      <c r="B11" s="32" t="s">
        <v>244</v>
      </c>
      <c r="C11" s="143"/>
      <c r="D11" s="143"/>
      <c r="E11" s="143"/>
      <c r="F11" s="149">
        <f>CHOOSE(Cover!C17,$B$16,$C$16)</f>
        <v>0.1</v>
      </c>
      <c r="G11" s="149">
        <f>CHOOSE(Cover!C17,$B$16,$C$16)</f>
        <v>0.1</v>
      </c>
      <c r="H11" s="149">
        <f>CHOOSE(Cover!C17,$B$16,$C$16)</f>
        <v>0.1</v>
      </c>
      <c r="I11" s="149">
        <f>CHOOSE(Cover!C17,$B$17,$C$17)</f>
        <v>0.13</v>
      </c>
      <c r="J11" s="149">
        <f>CHOOSE(Cover!C17,$B$17,$C$17)</f>
        <v>0.13</v>
      </c>
      <c r="K11" s="149">
        <f>CHOOSE(Cover!C17,$B$17,$C$17)</f>
        <v>0.13</v>
      </c>
      <c r="L11" s="149">
        <f>CHOOSE(Cover!C17,$B$18,$C$18)</f>
        <v>0.16</v>
      </c>
      <c r="M11" s="149">
        <f>CHOOSE(Cover!C17,$B$18,$C$18)</f>
        <v>0.16</v>
      </c>
      <c r="N11" s="149">
        <f>CHOOSE(Cover!C17,$B$18,$C$18)</f>
        <v>0.16</v>
      </c>
      <c r="O11" s="149">
        <f>CHOOSE(Cover!C17,$B$18,$C$18)</f>
        <v>0.16</v>
      </c>
      <c r="P11" s="144"/>
      <c r="Q11" s="144"/>
    </row>
    <row r="12" spans="1:17" ht="15" customHeight="1">
      <c r="A12" s="143"/>
      <c r="B12" s="32" t="s">
        <v>245</v>
      </c>
      <c r="C12" s="143"/>
      <c r="D12" s="143"/>
      <c r="E12" s="143"/>
      <c r="F12" s="149">
        <f t="shared" ref="F12:O12" si="2">IFERROR(F8/E8-1,"-")</f>
        <v>-0.31163753662436566</v>
      </c>
      <c r="G12" s="149">
        <f t="shared" si="2"/>
        <v>0.10000000000000009</v>
      </c>
      <c r="H12" s="149">
        <f t="shared" si="2"/>
        <v>0.10000000000000009</v>
      </c>
      <c r="I12" s="149">
        <f t="shared" si="2"/>
        <v>0.24299999999999988</v>
      </c>
      <c r="J12" s="149">
        <f t="shared" si="2"/>
        <v>0.12999999999999989</v>
      </c>
      <c r="K12" s="149">
        <f t="shared" si="2"/>
        <v>0.12999999999999989</v>
      </c>
      <c r="L12" s="149">
        <f t="shared" si="2"/>
        <v>0.26545454545454517</v>
      </c>
      <c r="M12" s="149">
        <f t="shared" si="2"/>
        <v>0.15999999999999992</v>
      </c>
      <c r="N12" s="149">
        <f t="shared" si="2"/>
        <v>0.15999999999999992</v>
      </c>
      <c r="O12" s="149">
        <f t="shared" si="2"/>
        <v>0.16000000000000014</v>
      </c>
      <c r="P12" s="144"/>
      <c r="Q12" s="144"/>
    </row>
    <row r="13" spans="1:17" ht="15" customHeight="1">
      <c r="A13" s="143"/>
      <c r="B13" s="32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4"/>
      <c r="N13" s="144"/>
      <c r="O13" s="144"/>
      <c r="P13" s="144"/>
      <c r="Q13" s="144"/>
    </row>
    <row r="14" spans="1:17" ht="15" customHeight="1">
      <c r="A14" s="143"/>
      <c r="B14" s="109" t="s">
        <v>246</v>
      </c>
      <c r="C14" s="109" t="s">
        <v>247</v>
      </c>
      <c r="D14" s="27" t="s">
        <v>248</v>
      </c>
      <c r="E14" s="150"/>
      <c r="F14" s="150"/>
      <c r="G14" s="150"/>
      <c r="H14" s="150"/>
      <c r="I14" s="150"/>
      <c r="J14" s="143"/>
      <c r="K14" s="143"/>
      <c r="L14" s="143"/>
      <c r="M14" s="144"/>
      <c r="N14" s="144"/>
      <c r="O14" s="144"/>
      <c r="P14" s="144"/>
      <c r="Q14" s="144"/>
    </row>
    <row r="15" spans="1:17" ht="15" customHeight="1">
      <c r="A15" s="143"/>
      <c r="B15" s="151">
        <v>0.49</v>
      </c>
      <c r="C15" s="151">
        <v>0.49</v>
      </c>
      <c r="D15" s="152" t="s">
        <v>249</v>
      </c>
      <c r="E15" s="143"/>
      <c r="F15" s="143"/>
      <c r="G15" s="143"/>
      <c r="H15" s="143"/>
      <c r="I15" s="143"/>
      <c r="J15" s="143"/>
      <c r="K15" s="143"/>
      <c r="L15" s="143"/>
      <c r="M15" s="144"/>
      <c r="N15" s="144"/>
      <c r="O15" s="144"/>
      <c r="P15" s="144"/>
      <c r="Q15" s="144"/>
    </row>
    <row r="16" spans="1:17" ht="15" customHeight="1">
      <c r="A16" s="143"/>
      <c r="B16" s="151">
        <v>7.0000000000000007E-2</v>
      </c>
      <c r="C16" s="151">
        <v>0.1</v>
      </c>
      <c r="D16" s="152" t="s">
        <v>250</v>
      </c>
      <c r="E16" s="143"/>
      <c r="F16" s="143"/>
      <c r="G16" s="143"/>
      <c r="H16" s="143"/>
      <c r="I16" s="143"/>
      <c r="J16" s="143"/>
      <c r="K16" s="143"/>
      <c r="L16" s="143"/>
      <c r="M16" s="144"/>
      <c r="N16" s="144"/>
      <c r="O16" s="144"/>
      <c r="P16" s="144"/>
      <c r="Q16" s="144"/>
    </row>
    <row r="17" spans="1:17" ht="15" customHeight="1">
      <c r="A17" s="143"/>
      <c r="B17" s="151">
        <v>0.1</v>
      </c>
      <c r="C17" s="151">
        <v>0.13</v>
      </c>
      <c r="D17" s="152" t="s">
        <v>251</v>
      </c>
      <c r="E17" s="143"/>
      <c r="F17" s="143"/>
      <c r="G17" s="143"/>
      <c r="H17" s="143"/>
      <c r="I17" s="143"/>
      <c r="J17" s="143"/>
      <c r="K17" s="143"/>
      <c r="L17" s="143"/>
      <c r="M17" s="144"/>
      <c r="N17" s="144"/>
      <c r="O17" s="144"/>
      <c r="P17" s="144"/>
      <c r="Q17" s="144"/>
    </row>
    <row r="18" spans="1:17" ht="15" customHeight="1">
      <c r="A18" s="143"/>
      <c r="B18" s="151">
        <v>0.13</v>
      </c>
      <c r="C18" s="151">
        <v>0.16</v>
      </c>
      <c r="D18" s="152" t="s">
        <v>252</v>
      </c>
      <c r="E18" s="143"/>
      <c r="F18" s="143"/>
      <c r="G18" s="143"/>
      <c r="H18" s="143"/>
      <c r="I18" s="143"/>
      <c r="J18" s="143"/>
      <c r="K18" s="143"/>
      <c r="L18" s="143"/>
      <c r="M18" s="144"/>
      <c r="N18" s="144"/>
      <c r="O18" s="144"/>
      <c r="P18" s="144"/>
      <c r="Q18" s="144"/>
    </row>
    <row r="19" spans="1:17" ht="15" customHeight="1">
      <c r="A19" s="143"/>
      <c r="B19" s="151">
        <v>0.28000000000000003</v>
      </c>
      <c r="C19" s="151">
        <v>0.3</v>
      </c>
      <c r="D19" s="152" t="s">
        <v>253</v>
      </c>
      <c r="E19" s="143"/>
      <c r="F19" s="143"/>
      <c r="G19" s="143"/>
      <c r="H19" s="143"/>
      <c r="I19" s="143"/>
      <c r="J19" s="143"/>
      <c r="K19" s="143"/>
      <c r="L19" s="143"/>
      <c r="M19" s="144"/>
      <c r="N19" s="144"/>
      <c r="O19" s="144"/>
      <c r="P19" s="144"/>
      <c r="Q19" s="144"/>
    </row>
    <row r="20" spans="1:17" ht="15" customHeight="1">
      <c r="A20" s="143"/>
      <c r="B20" s="151">
        <v>0.3</v>
      </c>
      <c r="C20" s="151">
        <v>0.33</v>
      </c>
      <c r="D20" s="152" t="s">
        <v>254</v>
      </c>
      <c r="E20" s="143"/>
      <c r="F20" s="143"/>
      <c r="G20" s="143"/>
      <c r="H20" s="143"/>
      <c r="I20" s="143"/>
      <c r="J20" s="143"/>
      <c r="K20" s="143"/>
      <c r="L20" s="143"/>
      <c r="M20" s="144"/>
      <c r="N20" s="144"/>
      <c r="O20" s="144"/>
      <c r="P20" s="144"/>
      <c r="Q20" s="144"/>
    </row>
    <row r="21" spans="1:17" ht="15" customHeight="1">
      <c r="A21" s="143"/>
      <c r="B21" s="151">
        <v>0.32</v>
      </c>
      <c r="C21" s="151">
        <v>0.36</v>
      </c>
      <c r="D21" s="152" t="s">
        <v>255</v>
      </c>
      <c r="E21" s="143"/>
      <c r="F21" s="143"/>
      <c r="G21" s="143"/>
      <c r="H21" s="143"/>
      <c r="I21" s="143"/>
      <c r="J21" s="143"/>
      <c r="K21" s="143"/>
      <c r="L21" s="143"/>
      <c r="M21" s="144"/>
      <c r="N21" s="144"/>
      <c r="O21" s="144"/>
      <c r="P21" s="144"/>
      <c r="Q21" s="144"/>
    </row>
    <row r="22" spans="1:17" ht="15" customHeight="1">
      <c r="A22" s="143"/>
      <c r="B22" s="151">
        <v>0.05</v>
      </c>
      <c r="C22" s="151">
        <v>0.1</v>
      </c>
      <c r="D22" s="152" t="s">
        <v>512</v>
      </c>
      <c r="E22" s="143"/>
      <c r="F22" s="143"/>
      <c r="G22" s="143"/>
      <c r="H22" s="143"/>
      <c r="I22" s="143"/>
      <c r="J22" s="143"/>
      <c r="K22" s="143"/>
      <c r="L22" s="143"/>
      <c r="M22" s="144"/>
      <c r="N22" s="144"/>
      <c r="O22" s="144"/>
      <c r="P22" s="144"/>
      <c r="Q22" s="144"/>
    </row>
    <row r="23" spans="1:17" ht="15" customHeight="1">
      <c r="A23" s="143"/>
      <c r="B23" s="151"/>
      <c r="C23" s="151"/>
      <c r="D23" s="152"/>
      <c r="E23" s="143"/>
      <c r="F23" s="143"/>
      <c r="G23" s="143"/>
      <c r="H23" s="143"/>
      <c r="I23" s="143"/>
      <c r="J23" s="143"/>
      <c r="K23" s="143"/>
      <c r="L23" s="143"/>
      <c r="M23" s="144"/>
      <c r="N23" s="144"/>
      <c r="O23" s="144"/>
      <c r="P23" s="144"/>
      <c r="Q23" s="144"/>
    </row>
    <row r="24" spans="1:17" ht="15" customHeight="1">
      <c r="A24" s="143"/>
      <c r="B24" s="109" t="s">
        <v>26</v>
      </c>
      <c r="C24" s="109" t="s">
        <v>27</v>
      </c>
      <c r="D24" s="152"/>
      <c r="E24" s="143"/>
      <c r="F24" s="143"/>
      <c r="G24" s="143"/>
      <c r="H24" s="143"/>
      <c r="I24" s="143"/>
      <c r="J24" s="143"/>
      <c r="K24" s="143"/>
      <c r="L24" s="143"/>
      <c r="M24" s="144"/>
      <c r="N24" s="144"/>
      <c r="O24" s="144"/>
      <c r="P24" s="144"/>
      <c r="Q24" s="144"/>
    </row>
    <row r="25" spans="1:17" ht="15" customHeight="1">
      <c r="A25" s="143"/>
      <c r="B25" s="33">
        <v>483000</v>
      </c>
      <c r="C25" s="33">
        <v>780000</v>
      </c>
      <c r="D25" s="152"/>
      <c r="E25" s="143"/>
      <c r="F25" s="143"/>
      <c r="G25" s="143"/>
      <c r="H25" s="143"/>
      <c r="I25" s="143"/>
      <c r="J25" s="143"/>
      <c r="K25" s="143"/>
      <c r="L25" s="143"/>
      <c r="M25" s="144"/>
      <c r="N25" s="144"/>
      <c r="O25" s="144"/>
      <c r="P25" s="144"/>
      <c r="Q25" s="144"/>
    </row>
    <row r="26" spans="1:17" ht="15" customHeight="1">
      <c r="A26" s="143"/>
      <c r="B26" s="153">
        <f>'Income Statement'!G36</f>
        <v>-10844</v>
      </c>
      <c r="C26" s="153">
        <f>'Income Statement'!H36</f>
        <v>216386</v>
      </c>
      <c r="D26" s="152"/>
      <c r="E26" s="143"/>
      <c r="F26" s="143"/>
      <c r="G26" s="143"/>
      <c r="H26" s="143"/>
      <c r="I26" s="143"/>
      <c r="J26" s="143"/>
      <c r="K26" s="143"/>
      <c r="L26" s="143"/>
      <c r="M26" s="144"/>
      <c r="N26" s="144"/>
      <c r="O26" s="144"/>
      <c r="P26" s="144"/>
      <c r="Q26" s="144"/>
    </row>
    <row r="27" spans="1:17" ht="15" customHeight="1">
      <c r="A27" s="143"/>
      <c r="B27" s="149">
        <f>IFERROR(B26/B25,"-")</f>
        <v>-2.2451345755693582E-2</v>
      </c>
      <c r="C27" s="149">
        <f>IFERROR(C26/C25,"-")</f>
        <v>0.27741794871794873</v>
      </c>
      <c r="D27" s="143"/>
      <c r="E27" s="143"/>
      <c r="F27" s="143"/>
      <c r="G27" s="143"/>
      <c r="H27" s="143"/>
      <c r="I27" s="143"/>
      <c r="J27" s="143"/>
      <c r="K27" s="143"/>
      <c r="L27" s="143"/>
      <c r="M27" s="144"/>
      <c r="N27" s="144"/>
      <c r="O27" s="144"/>
      <c r="P27" s="144"/>
      <c r="Q27" s="144"/>
    </row>
    <row r="28" spans="1:17" ht="15" customHeight="1">
      <c r="A28" s="143"/>
      <c r="B28" s="149"/>
      <c r="C28" s="149"/>
      <c r="D28" s="143"/>
      <c r="E28" s="143"/>
      <c r="F28" s="143"/>
      <c r="G28" s="143"/>
      <c r="H28" s="143"/>
      <c r="I28" s="143"/>
      <c r="J28" s="143"/>
      <c r="K28" s="143"/>
      <c r="L28" s="143"/>
      <c r="M28" s="144"/>
      <c r="N28" s="144"/>
      <c r="O28" s="144"/>
      <c r="P28" s="144"/>
      <c r="Q28" s="144"/>
    </row>
    <row r="29" spans="1:17" ht="15" customHeight="1">
      <c r="A29" s="143"/>
      <c r="B29" s="27" t="s">
        <v>256</v>
      </c>
      <c r="C29" s="154"/>
      <c r="D29" s="154"/>
      <c r="I29" s="143"/>
      <c r="J29" s="143"/>
      <c r="K29" s="143"/>
      <c r="L29" s="143"/>
      <c r="M29" s="144"/>
      <c r="N29" s="144"/>
      <c r="O29" s="144"/>
      <c r="P29" s="144"/>
      <c r="Q29" s="144"/>
    </row>
    <row r="30" spans="1:17" ht="15" customHeight="1">
      <c r="A30" s="143"/>
      <c r="B30" s="32" t="s">
        <v>257</v>
      </c>
      <c r="I30" s="52"/>
      <c r="J30" s="143"/>
      <c r="K30" s="143"/>
      <c r="L30" s="143"/>
      <c r="M30" s="144"/>
      <c r="N30" s="144"/>
      <c r="O30" s="144"/>
      <c r="P30" s="144"/>
      <c r="Q30" s="144"/>
    </row>
    <row r="31" spans="1:17" ht="15" customHeight="1">
      <c r="A31" s="143"/>
      <c r="B31" s="32" t="s">
        <v>258</v>
      </c>
      <c r="I31" s="143"/>
      <c r="J31" s="143"/>
      <c r="K31" s="143"/>
      <c r="L31" s="143"/>
      <c r="M31" s="144"/>
      <c r="N31" s="144"/>
      <c r="O31" s="144"/>
      <c r="P31" s="144"/>
      <c r="Q31" s="144"/>
    </row>
    <row r="32" spans="1:17" ht="15" customHeight="1">
      <c r="A32" s="143"/>
      <c r="B32" s="32" t="s">
        <v>259</v>
      </c>
      <c r="I32" s="143"/>
      <c r="J32" s="143"/>
      <c r="K32" s="143"/>
      <c r="L32" s="143"/>
      <c r="M32" s="144"/>
      <c r="N32" s="144"/>
      <c r="O32" s="144"/>
      <c r="P32" s="144"/>
      <c r="Q32" s="144"/>
    </row>
    <row r="33" spans="1:17" ht="15" customHeight="1">
      <c r="A33" s="143"/>
      <c r="B33" s="32" t="s">
        <v>260</v>
      </c>
      <c r="I33" s="143"/>
      <c r="J33" s="143"/>
      <c r="K33" s="143"/>
      <c r="L33" s="143"/>
      <c r="M33" s="144"/>
      <c r="N33" s="144"/>
      <c r="O33" s="144"/>
      <c r="P33" s="144"/>
      <c r="Q33" s="144"/>
    </row>
    <row r="34" spans="1:17" ht="15" customHeight="1">
      <c r="A34" s="143"/>
      <c r="B34" s="32" t="s">
        <v>261</v>
      </c>
      <c r="I34" s="143"/>
      <c r="J34" s="143"/>
      <c r="K34" s="143"/>
      <c r="L34" s="143"/>
      <c r="M34" s="144"/>
      <c r="N34" s="144"/>
      <c r="O34" s="144"/>
      <c r="P34" s="144"/>
      <c r="Q34" s="144"/>
    </row>
    <row r="35" spans="1:17" ht="15" customHeight="1">
      <c r="A35" s="143"/>
      <c r="B35" s="32" t="s">
        <v>262</v>
      </c>
      <c r="I35" s="143"/>
      <c r="J35" s="143"/>
      <c r="K35" s="143"/>
      <c r="L35" s="143"/>
      <c r="M35" s="144"/>
      <c r="N35" s="144"/>
      <c r="O35" s="144"/>
      <c r="P35" s="144"/>
      <c r="Q35" s="144"/>
    </row>
    <row r="36" spans="1:17" ht="15" customHeight="1">
      <c r="A36" s="143"/>
      <c r="B36" s="32" t="s">
        <v>263</v>
      </c>
      <c r="I36" s="143"/>
      <c r="J36" s="143"/>
      <c r="K36" s="143"/>
      <c r="L36" s="143"/>
      <c r="M36" s="144"/>
      <c r="N36" s="144"/>
      <c r="O36" s="144"/>
      <c r="P36" s="144"/>
      <c r="Q36" s="144"/>
    </row>
    <row r="37" spans="1:17" ht="15" customHeight="1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4"/>
      <c r="N37" s="144"/>
      <c r="O37" s="144"/>
      <c r="P37" s="144"/>
      <c r="Q37" s="144"/>
    </row>
    <row r="38" spans="1:17" ht="15" customHeight="1">
      <c r="A38" s="143"/>
      <c r="B38" s="27" t="s">
        <v>264</v>
      </c>
      <c r="C38" s="122"/>
      <c r="D38" s="27" t="s">
        <v>265</v>
      </c>
      <c r="E38" s="154"/>
      <c r="F38" s="154"/>
      <c r="G38" s="154"/>
      <c r="J38" s="143"/>
      <c r="K38" s="143"/>
      <c r="L38" s="143"/>
      <c r="M38" s="144"/>
      <c r="N38" s="144"/>
      <c r="O38" s="144"/>
      <c r="P38" s="144"/>
      <c r="Q38" s="144"/>
    </row>
    <row r="39" spans="1:17" ht="15" customHeight="1">
      <c r="A39" s="143"/>
      <c r="B39" s="32" t="s">
        <v>243</v>
      </c>
      <c r="C39" s="143"/>
      <c r="D39" s="152" t="s">
        <v>266</v>
      </c>
      <c r="J39" s="143"/>
      <c r="K39" s="143"/>
      <c r="L39" s="143"/>
      <c r="M39" s="144"/>
      <c r="N39" s="144"/>
      <c r="O39" s="144"/>
      <c r="P39" s="144"/>
      <c r="Q39" s="144"/>
    </row>
    <row r="40" spans="1:17" ht="15" customHeight="1">
      <c r="A40" s="143"/>
      <c r="B40" s="32" t="s">
        <v>267</v>
      </c>
      <c r="C40" s="143"/>
      <c r="D40" s="152" t="s">
        <v>268</v>
      </c>
      <c r="J40" s="143"/>
      <c r="K40" s="143"/>
      <c r="L40" s="143"/>
      <c r="M40" s="144"/>
      <c r="N40" s="144"/>
      <c r="O40" s="144"/>
      <c r="P40" s="144"/>
      <c r="Q40" s="144"/>
    </row>
    <row r="41" spans="1:17" ht="15" customHeight="1">
      <c r="A41" s="143"/>
      <c r="B41" s="32" t="s">
        <v>269</v>
      </c>
      <c r="C41" s="155"/>
      <c r="D41" s="152" t="s">
        <v>270</v>
      </c>
      <c r="J41" s="143"/>
      <c r="K41" s="143"/>
      <c r="L41" s="143"/>
      <c r="M41" s="144"/>
      <c r="N41" s="144"/>
      <c r="O41" s="144"/>
      <c r="P41" s="144"/>
      <c r="Q41" s="144"/>
    </row>
    <row r="42" spans="1:17" ht="15" customHeight="1">
      <c r="A42" s="143"/>
      <c r="B42" s="32" t="s">
        <v>271</v>
      </c>
      <c r="C42" s="156"/>
      <c r="D42" s="155"/>
      <c r="E42" s="152"/>
      <c r="F42" s="149"/>
      <c r="G42" s="149"/>
      <c r="H42" s="143"/>
      <c r="I42" s="143"/>
      <c r="J42" s="143"/>
      <c r="K42" s="143"/>
      <c r="L42" s="143"/>
      <c r="M42" s="144"/>
      <c r="N42" s="144"/>
      <c r="O42" s="144"/>
      <c r="P42" s="144"/>
      <c r="Q42" s="144"/>
    </row>
    <row r="43" spans="1:17" ht="15" customHeight="1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4"/>
      <c r="N43" s="144"/>
      <c r="O43" s="144"/>
      <c r="P43" s="144"/>
      <c r="Q43" s="144"/>
    </row>
    <row r="44" spans="1:17" ht="15" customHeight="1">
      <c r="A44" s="52"/>
      <c r="B44" s="27" t="s">
        <v>272</v>
      </c>
      <c r="C44" s="122"/>
      <c r="D44" s="122"/>
      <c r="E44" s="122"/>
      <c r="F44" s="122"/>
      <c r="G44" s="122"/>
      <c r="H44" s="122"/>
      <c r="I44" s="122"/>
      <c r="J44" s="52"/>
      <c r="K44" s="52"/>
      <c r="L44" s="52"/>
    </row>
    <row r="45" spans="1:17" ht="15" customHeight="1">
      <c r="A45" s="52"/>
      <c r="B45" s="152" t="s">
        <v>273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</row>
    <row r="46" spans="1:17" ht="15" customHeight="1">
      <c r="A46" s="52"/>
      <c r="B46" s="152" t="s">
        <v>274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</row>
    <row r="47" spans="1:17" ht="15" customHeight="1">
      <c r="A47" s="52"/>
      <c r="B47" s="152" t="s">
        <v>275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</row>
    <row r="48" spans="1:17" ht="15" customHeight="1">
      <c r="A48" s="52"/>
      <c r="B48" s="152" t="s">
        <v>276</v>
      </c>
      <c r="C48" s="52"/>
      <c r="D48" s="52"/>
      <c r="E48" s="52"/>
      <c r="F48" s="52"/>
      <c r="G48" s="52"/>
      <c r="H48" s="52"/>
      <c r="I48" s="52"/>
      <c r="J48" s="52"/>
      <c r="K48" s="52"/>
      <c r="L48" s="52"/>
    </row>
    <row r="49" spans="1:12" ht="1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</row>
    <row r="50" spans="1:12" ht="1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</row>
    <row r="51" spans="1:12" ht="1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</row>
    <row r="52" spans="1:12" ht="1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</row>
    <row r="53" spans="1:12" ht="1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</row>
    <row r="54" spans="1:12" ht="1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X125"/>
  <sheetViews>
    <sheetView showGridLines="0" tabSelected="1" zoomScale="67" zoomScaleNormal="75" workbookViewId="0">
      <selection activeCell="R55" sqref="R55"/>
    </sheetView>
  </sheetViews>
  <sheetFormatPr baseColWidth="10" defaultColWidth="10.6640625" defaultRowHeight="15" outlineLevelCol="1"/>
  <cols>
    <col min="1" max="1" width="3.33203125" customWidth="1"/>
    <col min="2" max="2" width="49" customWidth="1"/>
    <col min="3" max="8" width="12.83203125" customWidth="1"/>
    <col min="9" max="9" width="3.83203125" customWidth="1"/>
    <col min="10" max="12" width="12.83203125" customWidth="1" outlineLevel="1"/>
    <col min="13" max="13" width="3.83203125" customWidth="1"/>
    <col min="14" max="22" width="12.83203125" customWidth="1"/>
  </cols>
  <sheetData>
    <row r="1" spans="2:24" ht="1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2:24" ht="15" customHeight="1">
      <c r="B2" s="2" t="s">
        <v>21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2:24" ht="15" customHeight="1">
      <c r="B3" s="6" t="s">
        <v>22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2:24" ht="15" customHeight="1">
      <c r="B4" s="52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</row>
    <row r="5" spans="2:24" ht="15" customHeight="1">
      <c r="B5" s="22"/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23"/>
      <c r="J5" s="240" t="s">
        <v>277</v>
      </c>
      <c r="K5" s="240"/>
      <c r="L5" s="240"/>
      <c r="M5" s="23"/>
      <c r="N5" s="1" t="s">
        <v>75</v>
      </c>
      <c r="O5" s="1" t="s">
        <v>29</v>
      </c>
      <c r="P5" s="1" t="s">
        <v>30</v>
      </c>
      <c r="Q5" s="1" t="s">
        <v>31</v>
      </c>
      <c r="R5" s="1" t="s">
        <v>32</v>
      </c>
      <c r="S5" s="1" t="s">
        <v>33</v>
      </c>
      <c r="T5" s="1" t="s">
        <v>34</v>
      </c>
      <c r="U5" s="1" t="s">
        <v>35</v>
      </c>
      <c r="V5" s="1" t="s">
        <v>36</v>
      </c>
      <c r="W5" s="23" t="s">
        <v>37</v>
      </c>
      <c r="X5" s="52"/>
    </row>
    <row r="6" spans="2:24" ht="15" customHeight="1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</row>
    <row r="7" spans="2:24" ht="15" customHeight="1">
      <c r="B7" s="27" t="s">
        <v>38</v>
      </c>
      <c r="C7" s="28"/>
      <c r="D7" s="28"/>
      <c r="E7" s="28"/>
      <c r="F7" s="28"/>
      <c r="G7" s="28"/>
      <c r="H7" s="28"/>
      <c r="I7" s="157"/>
      <c r="J7" s="28" t="s">
        <v>278</v>
      </c>
      <c r="K7" s="28" t="s">
        <v>19</v>
      </c>
      <c r="L7" s="109" t="s">
        <v>20</v>
      </c>
      <c r="M7" s="157"/>
      <c r="N7" s="28"/>
      <c r="O7" s="28"/>
      <c r="P7" s="28"/>
      <c r="Q7" s="28"/>
      <c r="R7" s="28"/>
      <c r="S7" s="28"/>
      <c r="T7" s="28"/>
      <c r="U7" s="28"/>
      <c r="V7" s="28"/>
      <c r="W7" s="28"/>
      <c r="X7" s="52"/>
    </row>
    <row r="8" spans="2:24" ht="15" customHeight="1">
      <c r="B8" s="32" t="s">
        <v>39</v>
      </c>
      <c r="C8" s="33">
        <v>0</v>
      </c>
      <c r="D8" s="158">
        <f>('Income Statement'!E8-'Income Statement'!D8)/'Income Statement'!D8</f>
        <v>0.26645644969708143</v>
      </c>
      <c r="E8" s="158">
        <f>('Income Statement'!F8-'Income Statement'!E8)/'Income Statement'!E8</f>
        <v>0.38530719704411609</v>
      </c>
      <c r="F8" s="158">
        <f>('Income Statement'!G8-'Income Statement'!F8)/'Income Statement'!F8</f>
        <v>0.2117717344512122</v>
      </c>
      <c r="G8" s="158">
        <f>('Income Statement'!H8-'Income Statement'!G8)/'Income Statement'!G8</f>
        <v>0.11039099781489216</v>
      </c>
      <c r="H8" s="158"/>
      <c r="I8" s="158"/>
      <c r="J8" s="158">
        <f>AVERAGE(E8:G8)</f>
        <v>0.23582330977007349</v>
      </c>
      <c r="K8" s="158">
        <f>G8</f>
        <v>0.11039099781489216</v>
      </c>
      <c r="L8" s="158">
        <f>J8</f>
        <v>0.23582330977007349</v>
      </c>
      <c r="M8" s="158"/>
      <c r="N8" s="159">
        <f>CHOOSE(Cover!$C$17,Assumptions!$K$8,Assumptions!$L$8)</f>
        <v>0.23582330977007349</v>
      </c>
      <c r="O8" s="159">
        <f>CHOOSE(Cover!$C$17,Assumptions!$K$8,Assumptions!$L$8)</f>
        <v>0.23582330977007349</v>
      </c>
      <c r="P8" s="159">
        <f>CHOOSE(Cover!$C$17,Assumptions!$K$8,Assumptions!$L$8)</f>
        <v>0.23582330977007349</v>
      </c>
      <c r="Q8" s="159">
        <f>CHOOSE(Cover!$C$17,Assumptions!$K$8,Assumptions!$L$8)</f>
        <v>0.23582330977007349</v>
      </c>
      <c r="R8" s="159">
        <f>CHOOSE(Cover!$C$17,Assumptions!$K$8,Assumptions!$L$8)</f>
        <v>0.23582330977007349</v>
      </c>
      <c r="S8" s="159">
        <f>CHOOSE(Cover!$C$17,Assumptions!$K$8,Assumptions!$L$8)</f>
        <v>0.23582330977007349</v>
      </c>
      <c r="T8" s="159">
        <f>CHOOSE(Cover!$C$17,Assumptions!$K$8,Assumptions!$L$8)</f>
        <v>0.23582330977007349</v>
      </c>
      <c r="U8" s="159">
        <f>CHOOSE(Cover!$C$17,Assumptions!$K$8,Assumptions!$L$8)</f>
        <v>0.23582330977007349</v>
      </c>
      <c r="V8" s="159">
        <f>CHOOSE(Cover!$C$17,Assumptions!$K$8,Assumptions!$L$8)</f>
        <v>0.23582330977007349</v>
      </c>
      <c r="W8" s="159">
        <f>CHOOSE(Cover!$C$17,Assumptions!$K$8,Assumptions!$L$8)</f>
        <v>0.23582330977007349</v>
      </c>
      <c r="X8" s="52"/>
    </row>
    <row r="9" spans="2:24" ht="15" customHeight="1">
      <c r="B9" s="32" t="str">
        <f>'Segment Drivers'!A36</f>
        <v>Uranium Revenue</v>
      </c>
      <c r="C9" s="39">
        <v>0</v>
      </c>
      <c r="D9" s="158">
        <f>('Income Statement'!E9-'Income Statement'!D9)/'Income Statement'!D9</f>
        <v>0.40284360189573459</v>
      </c>
      <c r="E9" s="158">
        <f>('Income Statement'!F9-'Income Statement'!E9)/'Income Statement'!E9</f>
        <v>0.45405405405405408</v>
      </c>
      <c r="F9" s="158">
        <f>('Income Statement'!G9-'Income Statement'!F9)/'Income Statement'!F9</f>
        <v>0.24395910780669144</v>
      </c>
      <c r="G9" s="158">
        <f>('Income Statement'!H9-'Income Statement'!G9)/'Income Statement'!G9</f>
        <v>7.3589839372431826E-2</v>
      </c>
      <c r="H9" s="158"/>
      <c r="I9" s="158"/>
      <c r="J9" s="158">
        <f>AVERAGE(E9:G9)</f>
        <v>0.25720100041105909</v>
      </c>
      <c r="K9" s="158">
        <f>G9</f>
        <v>7.3589839372431826E-2</v>
      </c>
      <c r="L9" s="158">
        <f>AVERAGE(J9:K9)</f>
        <v>0.16539541989174544</v>
      </c>
      <c r="M9" s="158"/>
      <c r="N9" s="159">
        <f>CHOOSE(Cover!$C$17,Assumptions!$K$9,Assumptions!$L$9)</f>
        <v>0.16539541989174544</v>
      </c>
      <c r="O9" s="159">
        <f>CHOOSE(Cover!$C$17,Assumptions!$K$9,Assumptions!$L$9)</f>
        <v>0.16539541989174544</v>
      </c>
      <c r="P9" s="159">
        <f>CHOOSE(Cover!$C$17,Assumptions!$K$9,Assumptions!$L$9)</f>
        <v>0.16539541989174544</v>
      </c>
      <c r="Q9" s="159">
        <f>CHOOSE(Cover!$C$17,Assumptions!$K$9,Assumptions!$L$9)</f>
        <v>0.16539541989174544</v>
      </c>
      <c r="R9" s="159">
        <f>CHOOSE(Cover!$C$17,Assumptions!$K$9,Assumptions!$L$9)</f>
        <v>0.16539541989174544</v>
      </c>
      <c r="S9" s="159">
        <f>CHOOSE(Cover!$C$17,Assumptions!$K$9,Assumptions!$L$9)</f>
        <v>0.16539541989174544</v>
      </c>
      <c r="T9" s="159">
        <f>CHOOSE(Cover!$C$17,Assumptions!$K$9,Assumptions!$L$9)</f>
        <v>0.16539541989174544</v>
      </c>
      <c r="U9" s="159">
        <f>CHOOSE(Cover!$C$17,Assumptions!$K$9,Assumptions!$L$9)</f>
        <v>0.16539541989174544</v>
      </c>
      <c r="V9" s="159">
        <f>CHOOSE(Cover!$C$17,Assumptions!$K$9,Assumptions!$L$9)</f>
        <v>0.16539541989174544</v>
      </c>
      <c r="W9" s="159">
        <f>CHOOSE(Cover!$C$17,Assumptions!$K$9,Assumptions!$L$9)</f>
        <v>0.16539541989174544</v>
      </c>
      <c r="X9" s="52"/>
    </row>
    <row r="10" spans="2:24" ht="15" customHeight="1">
      <c r="B10" s="32" t="str">
        <f>'Segment Drivers'!A37</f>
        <v>Fuel Services Revenue</v>
      </c>
      <c r="C10" s="39">
        <v>0</v>
      </c>
      <c r="D10" s="158">
        <f>('Income Statement'!E10-'Income Statement'!D10)/'Income Statement'!D10</f>
        <v>-9.6534653465346537E-2</v>
      </c>
      <c r="E10" s="158">
        <f>('Income Statement'!F10-'Income Statement'!E10)/'Income Statement'!E10</f>
        <v>0.16712328767123288</v>
      </c>
      <c r="F10" s="158">
        <f>('Income Statement'!G10-'Income Statement'!F10)/'Income Statement'!F10</f>
        <v>7.746478873239436E-2</v>
      </c>
      <c r="G10" s="158">
        <f>('Income Statement'!H10-'Income Statement'!G10)/'Income Statement'!G10</f>
        <v>0.22440087145969498</v>
      </c>
      <c r="H10" s="158"/>
      <c r="I10" s="158"/>
      <c r="J10" s="158">
        <f>AVERAGE(E10:G10)</f>
        <v>0.15632964928777407</v>
      </c>
      <c r="K10" s="158">
        <f>J10</f>
        <v>0.15632964928777407</v>
      </c>
      <c r="L10" s="158">
        <f>J10</f>
        <v>0.15632964928777407</v>
      </c>
      <c r="M10" s="158"/>
      <c r="N10" s="159">
        <f>CHOOSE(Cover!$C$17,Assumptions!$K$10,Assumptions!$L$10)</f>
        <v>0.15632964928777407</v>
      </c>
      <c r="O10" s="159">
        <f>CHOOSE(Cover!$C$17,Assumptions!$K$10,Assumptions!$L$10)</f>
        <v>0.15632964928777407</v>
      </c>
      <c r="P10" s="159">
        <f>CHOOSE(Cover!$C$17,Assumptions!$K$10,Assumptions!$L$10)</f>
        <v>0.15632964928777407</v>
      </c>
      <c r="Q10" s="159">
        <f>CHOOSE(Cover!$C$17,Assumptions!$K$10,Assumptions!$L$10)</f>
        <v>0.15632964928777407</v>
      </c>
      <c r="R10" s="159">
        <f>CHOOSE(Cover!$C$17,Assumptions!$K$10,Assumptions!$L$10)</f>
        <v>0.15632964928777407</v>
      </c>
      <c r="S10" s="159">
        <f>CHOOSE(Cover!$C$17,Assumptions!$K$10,Assumptions!$L$10)</f>
        <v>0.15632964928777407</v>
      </c>
      <c r="T10" s="159">
        <f>CHOOSE(Cover!$C$17,Assumptions!$K$10,Assumptions!$L$10)</f>
        <v>0.15632964928777407</v>
      </c>
      <c r="U10" s="159">
        <f>CHOOSE(Cover!$C$17,Assumptions!$K$10,Assumptions!$L$10)</f>
        <v>0.15632964928777407</v>
      </c>
      <c r="V10" s="159">
        <f>CHOOSE(Cover!$C$17,Assumptions!$K$10,Assumptions!$L$10)</f>
        <v>0.15632964928777407</v>
      </c>
      <c r="W10" s="159">
        <f>CHOOSE(Cover!$C$17,Assumptions!$K$10,Assumptions!$L$10)</f>
        <v>0.15632964928777407</v>
      </c>
      <c r="X10" s="52"/>
    </row>
    <row r="11" spans="2:24" ht="15" customHeight="1">
      <c r="B11" s="35" t="s">
        <v>40</v>
      </c>
      <c r="C11" s="47">
        <v>0</v>
      </c>
      <c r="D11" s="160" t="s">
        <v>41</v>
      </c>
      <c r="E11" s="47">
        <v>0</v>
      </c>
      <c r="F11" s="47">
        <v>0</v>
      </c>
      <c r="G11" s="160" t="s">
        <v>41</v>
      </c>
      <c r="H11" s="158"/>
      <c r="I11" s="39"/>
      <c r="J11" s="160">
        <f>AVERAGE(D11:G11)</f>
        <v>0</v>
      </c>
      <c r="K11" s="160">
        <f>J11</f>
        <v>0</v>
      </c>
      <c r="L11" s="160">
        <f>J11</f>
        <v>0</v>
      </c>
      <c r="M11" s="39"/>
      <c r="N11" s="161">
        <f>CHOOSE(Cover!$C$17,Assumptions!$K$11,Assumptions!$L$11)</f>
        <v>0</v>
      </c>
      <c r="O11" s="161">
        <f>CHOOSE(Cover!$C$17,Assumptions!$K$11,Assumptions!$L$11)</f>
        <v>0</v>
      </c>
      <c r="P11" s="161">
        <f>CHOOSE(Cover!$C$17,Assumptions!$K$11,Assumptions!$L$11)</f>
        <v>0</v>
      </c>
      <c r="Q11" s="161">
        <f>CHOOSE(Cover!$C$17,Assumptions!$K$11,Assumptions!$L$11)</f>
        <v>0</v>
      </c>
      <c r="R11" s="161">
        <f>CHOOSE(Cover!$C$17,Assumptions!$K$11,Assumptions!$L$11)</f>
        <v>0</v>
      </c>
      <c r="S11" s="161">
        <f>CHOOSE(Cover!$C$17,Assumptions!$K$11,Assumptions!$L$11)</f>
        <v>0</v>
      </c>
      <c r="T11" s="161">
        <f>CHOOSE(Cover!$C$17,Assumptions!$K$11,Assumptions!$L$11)</f>
        <v>0</v>
      </c>
      <c r="U11" s="161">
        <f>CHOOSE(Cover!$C$17,Assumptions!$K$11,Assumptions!$L$11)</f>
        <v>0</v>
      </c>
      <c r="V11" s="161">
        <f>CHOOSE(Cover!$C$17,Assumptions!$K$11,Assumptions!$L$11)</f>
        <v>0</v>
      </c>
      <c r="W11" s="161">
        <f>CHOOSE(Cover!$C$17,Assumptions!$K$11,Assumptions!$L$11)</f>
        <v>0</v>
      </c>
      <c r="X11" s="52"/>
    </row>
    <row r="12" spans="2:24" ht="15" customHeight="1">
      <c r="B12" s="38" t="s">
        <v>42</v>
      </c>
      <c r="C12" s="39">
        <f>SUM(C9:C11)</f>
        <v>0</v>
      </c>
      <c r="D12" s="158">
        <f>('Income Statement'!E12-'Income Statement'!D12)/'Income Statement'!D12</f>
        <v>0.26456477039067855</v>
      </c>
      <c r="E12" s="158">
        <f>('Income Statement'!F12-'Income Statement'!E12)/'Income Statement'!E12</f>
        <v>0.397289972899729</v>
      </c>
      <c r="F12" s="158">
        <f>('Income Statement'!G12-'Income Statement'!F12)/'Income Statement'!F12</f>
        <v>0.21644685802948022</v>
      </c>
      <c r="G12" s="158">
        <f>('Income Statement'!H12-'Income Statement'!G12)/'Income Statement'!G12</f>
        <v>9.5677933673469384E-2</v>
      </c>
      <c r="H12" s="158"/>
      <c r="I12" s="158"/>
      <c r="J12" s="158">
        <f>AVERAGE(D12:G12)</f>
        <v>0.24349488374833933</v>
      </c>
      <c r="K12" s="158">
        <f>AVERAGE(D12:G12)</f>
        <v>0.24349488374833933</v>
      </c>
      <c r="L12" s="158">
        <f>J12</f>
        <v>0.24349488374833933</v>
      </c>
      <c r="M12" s="158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52"/>
    </row>
    <row r="13" spans="2:24" ht="15" customHeight="1">
      <c r="B13" s="52"/>
      <c r="C13" s="40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52"/>
    </row>
    <row r="14" spans="2:24" ht="15" customHeight="1">
      <c r="B14" s="42" t="s">
        <v>43</v>
      </c>
      <c r="C14" s="43"/>
      <c r="D14" s="162"/>
      <c r="E14" s="162"/>
      <c r="F14" s="162"/>
      <c r="G14" s="162"/>
      <c r="H14" s="162"/>
      <c r="I14" s="158"/>
      <c r="J14" s="162"/>
      <c r="K14" s="162"/>
      <c r="L14" s="162"/>
      <c r="M14" s="158"/>
      <c r="N14" s="163"/>
      <c r="O14" s="162"/>
      <c r="P14" s="162"/>
      <c r="Q14" s="162"/>
      <c r="R14" s="162"/>
      <c r="S14" s="162"/>
      <c r="T14" s="162"/>
      <c r="U14" s="162"/>
      <c r="V14" s="162"/>
      <c r="W14" s="162"/>
      <c r="X14" s="52"/>
    </row>
    <row r="15" spans="2:24" ht="15" customHeight="1">
      <c r="B15" s="32" t="s">
        <v>279</v>
      </c>
      <c r="C15" s="33">
        <v>0</v>
      </c>
      <c r="D15" s="158">
        <f>('Income Statement'!E15-'Income Statement'!D15)/'Income Statement'!D15</f>
        <v>0.13620476597005385</v>
      </c>
      <c r="E15" s="158">
        <f>('Income Statement'!F15-'Income Statement'!E15)/'Income Statement'!E15</f>
        <v>0.23908830907903189</v>
      </c>
      <c r="F15" s="158">
        <f>('Income Statement'!G15-'Income Statement'!F15)/'Income Statement'!F15</f>
        <v>0.14770446701901904</v>
      </c>
      <c r="G15" s="158">
        <f>('Income Statement'!H15-'Income Statement'!G15)/'Income Statement'!G15</f>
        <v>7.0484364686309406E-2</v>
      </c>
      <c r="H15" s="158"/>
      <c r="I15" s="158"/>
      <c r="J15" s="158">
        <f>AVERAGE(E15:G15)</f>
        <v>0.15242571359478679</v>
      </c>
      <c r="K15" s="158">
        <f>G15</f>
        <v>7.0484364686309406E-2</v>
      </c>
      <c r="L15" s="158">
        <f>K15</f>
        <v>7.0484364686309406E-2</v>
      </c>
      <c r="M15" s="158"/>
      <c r="N15" s="159">
        <f>CHOOSE(Cover!$C$17,Assumptions!$K$15,Assumptions!$L$15)</f>
        <v>7.0484364686309406E-2</v>
      </c>
      <c r="O15" s="159">
        <f>CHOOSE(Cover!$C$17,Assumptions!$K$15,Assumptions!$L$15)</f>
        <v>7.0484364686309406E-2</v>
      </c>
      <c r="P15" s="159">
        <f>CHOOSE(Cover!$C$17,Assumptions!$K$15,Assumptions!$L$15)</f>
        <v>7.0484364686309406E-2</v>
      </c>
      <c r="Q15" s="159">
        <f>CHOOSE(Cover!$C$17,Assumptions!$K$15,Assumptions!$L$15)</f>
        <v>7.0484364686309406E-2</v>
      </c>
      <c r="R15" s="159">
        <f>CHOOSE(Cover!$C$17,Assumptions!$K$15,Assumptions!$L$15)</f>
        <v>7.0484364686309406E-2</v>
      </c>
      <c r="S15" s="159">
        <f>CHOOSE(Cover!$C$17,Assumptions!$K$15,Assumptions!$L$15)</f>
        <v>7.0484364686309406E-2</v>
      </c>
      <c r="T15" s="159">
        <f>CHOOSE(Cover!$C$17,Assumptions!$K$15,Assumptions!$L$15)</f>
        <v>7.0484364686309406E-2</v>
      </c>
      <c r="U15" s="159">
        <f>CHOOSE(Cover!$C$17,Assumptions!$K$15,Assumptions!$L$15)</f>
        <v>7.0484364686309406E-2</v>
      </c>
      <c r="V15" s="159">
        <f>CHOOSE(Cover!$C$17,Assumptions!$K$15,Assumptions!$L$15)</f>
        <v>7.0484364686309406E-2</v>
      </c>
      <c r="W15" s="159">
        <f>CHOOSE(Cover!$C$17,Assumptions!$K$15,Assumptions!$L$15)</f>
        <v>7.0484364686309406E-2</v>
      </c>
      <c r="X15" s="52"/>
    </row>
    <row r="16" spans="2:24" ht="15" customHeight="1">
      <c r="B16" s="46" t="s">
        <v>280</v>
      </c>
      <c r="C16" s="30">
        <v>0</v>
      </c>
      <c r="D16" s="158">
        <f>('Income Statement'!E16-'Income Statement'!D16)/'Income Statement'!D16</f>
        <v>0.18928749164087649</v>
      </c>
      <c r="E16" s="158">
        <f>('Income Statement'!F16-'Income Statement'!E16)/'Income Statement'!E16</f>
        <v>0.25234439233775596</v>
      </c>
      <c r="F16" s="158">
        <f>('Income Statement'!G16-'Income Statement'!F16)/'Income Statement'!F16</f>
        <v>0.14673148358432594</v>
      </c>
      <c r="G16" s="158">
        <f>('Income Statement'!H16-'Income Statement'!G16)/'Income Statement'!G16</f>
        <v>3.8335263536796699E-2</v>
      </c>
      <c r="H16" s="158"/>
      <c r="I16" s="158"/>
      <c r="J16" s="158">
        <f>AVERAGE(E16:G16)</f>
        <v>0.14580371315295956</v>
      </c>
      <c r="K16" s="158">
        <f>G16</f>
        <v>3.8335263536796699E-2</v>
      </c>
      <c r="L16" s="158">
        <f>J16-0.05</f>
        <v>9.580371315295956E-2</v>
      </c>
      <c r="M16" s="158"/>
      <c r="N16" s="159">
        <f>CHOOSE(Cover!$C$17,Assumptions!$K$16,Assumptions!$L$16)</f>
        <v>9.580371315295956E-2</v>
      </c>
      <c r="O16" s="159">
        <f>CHOOSE(Cover!$C$17,Assumptions!$K$16,Assumptions!$L$16)</f>
        <v>9.580371315295956E-2</v>
      </c>
      <c r="P16" s="159">
        <f>CHOOSE(Cover!$C$17,Assumptions!$K$16,Assumptions!$L$16)</f>
        <v>9.580371315295956E-2</v>
      </c>
      <c r="Q16" s="159">
        <f>CHOOSE(Cover!$C$17,Assumptions!$K$16,Assumptions!$L$16)</f>
        <v>9.580371315295956E-2</v>
      </c>
      <c r="R16" s="159">
        <f>CHOOSE(Cover!$C$17,Assumptions!$K$16,Assumptions!$L$16)</f>
        <v>9.580371315295956E-2</v>
      </c>
      <c r="S16" s="159">
        <f>CHOOSE(Cover!$C$17,Assumptions!$K$16,Assumptions!$L$16)</f>
        <v>9.580371315295956E-2</v>
      </c>
      <c r="T16" s="159">
        <f>CHOOSE(Cover!$C$17,Assumptions!$K$16,Assumptions!$L$16)</f>
        <v>9.580371315295956E-2</v>
      </c>
      <c r="U16" s="159">
        <f>CHOOSE(Cover!$C$17,Assumptions!$K$16,Assumptions!$L$16)</f>
        <v>9.580371315295956E-2</v>
      </c>
      <c r="V16" s="159">
        <f>CHOOSE(Cover!$C$17,Assumptions!$K$16,Assumptions!$L$16)</f>
        <v>9.580371315295956E-2</v>
      </c>
      <c r="W16" s="159">
        <f>CHOOSE(Cover!$C$17,Assumptions!$K$16,Assumptions!$L$16)</f>
        <v>9.580371315295956E-2</v>
      </c>
      <c r="X16" s="52"/>
    </row>
    <row r="17" spans="2:24" ht="15" customHeight="1">
      <c r="B17" s="46" t="s">
        <v>281</v>
      </c>
      <c r="C17" s="30">
        <v>0</v>
      </c>
      <c r="D17" s="158">
        <f>('Income Statement'!E17-'Income Statement'!D17)/'Income Statement'!D17</f>
        <v>-0.11095170958140609</v>
      </c>
      <c r="E17" s="158">
        <f>('Income Statement'!F17-'Income Statement'!E17)/'Income Statement'!E17</f>
        <v>0.23371047018454977</v>
      </c>
      <c r="F17" s="158">
        <f>('Income Statement'!G17-'Income Statement'!F17)/'Income Statement'!F17</f>
        <v>0.18784343498883718</v>
      </c>
      <c r="G17" s="158">
        <f>('Income Statement'!H17-'Income Statement'!G17)/'Income Statement'!G17</f>
        <v>0.10365776483989368</v>
      </c>
      <c r="H17" s="158"/>
      <c r="I17" s="158"/>
      <c r="J17" s="158">
        <f>AVERAGE(E17:G17)</f>
        <v>0.17507055667109353</v>
      </c>
      <c r="K17" s="158">
        <f>G17</f>
        <v>0.10365776483989368</v>
      </c>
      <c r="L17" s="158">
        <f>G17</f>
        <v>0.10365776483989368</v>
      </c>
      <c r="M17" s="158"/>
      <c r="N17" s="159">
        <f>CHOOSE(Cover!$C$17,Assumptions!$K$17,Assumptions!$L$17)</f>
        <v>0.10365776483989368</v>
      </c>
      <c r="O17" s="159">
        <f>CHOOSE(Cover!$C$17,Assumptions!$K$17,Assumptions!$L$17)</f>
        <v>0.10365776483989368</v>
      </c>
      <c r="P17" s="159">
        <f>CHOOSE(Cover!$C$17,Assumptions!$K$17,Assumptions!$L$17)</f>
        <v>0.10365776483989368</v>
      </c>
      <c r="Q17" s="159">
        <f>CHOOSE(Cover!$C$17,Assumptions!$K$17,Assumptions!$L$17)</f>
        <v>0.10365776483989368</v>
      </c>
      <c r="R17" s="159">
        <f>CHOOSE(Cover!$C$17,Assumptions!$K$17,Assumptions!$L$17)</f>
        <v>0.10365776483989368</v>
      </c>
      <c r="S17" s="159">
        <f>CHOOSE(Cover!$C$17,Assumptions!$K$17,Assumptions!$L$17)</f>
        <v>0.10365776483989368</v>
      </c>
      <c r="T17" s="159">
        <f>CHOOSE(Cover!$C$17,Assumptions!$K$17,Assumptions!$L$17)</f>
        <v>0.10365776483989368</v>
      </c>
      <c r="U17" s="159">
        <f>CHOOSE(Cover!$C$17,Assumptions!$K$17,Assumptions!$L$17)</f>
        <v>0.10365776483989368</v>
      </c>
      <c r="V17" s="159">
        <f>CHOOSE(Cover!$C$17,Assumptions!$K$17,Assumptions!$L$17)</f>
        <v>0.10365776483989368</v>
      </c>
      <c r="W17" s="159">
        <f>CHOOSE(Cover!$C$17,Assumptions!$K$17,Assumptions!$L$17)</f>
        <v>0.10365776483989368</v>
      </c>
      <c r="X17" s="52"/>
    </row>
    <row r="18" spans="2:24" ht="15" customHeight="1">
      <c r="B18" s="35" t="s">
        <v>282</v>
      </c>
      <c r="C18" s="36">
        <v>0</v>
      </c>
      <c r="D18" s="160">
        <f>('Income Statement'!E18-'Income Statement'!D18)/'Income Statement'!D18</f>
        <v>-6.8476748155344908E-2</v>
      </c>
      <c r="E18" s="160">
        <f>('Income Statement'!F18-'Income Statement'!E18)/'Income Statement'!E18</f>
        <v>0.24212971315172288</v>
      </c>
      <c r="F18" s="160">
        <f>('Income Statement'!G18-'Income Statement'!F18)/'Income Statement'!F18</f>
        <v>0.27404186561609267</v>
      </c>
      <c r="G18" s="160">
        <f>('Income Statement'!H18-'Income Statement'!G18)/'Income Statement'!G18</f>
        <v>4.4146461371846302E-2</v>
      </c>
      <c r="H18" s="158"/>
      <c r="I18" s="158"/>
      <c r="J18" s="160">
        <f>AVERAGE(E18:G18)</f>
        <v>0.18677268004655398</v>
      </c>
      <c r="K18" s="160">
        <f>J18-0.05</f>
        <v>0.13677268004655396</v>
      </c>
      <c r="L18" s="160">
        <f>G18</f>
        <v>4.4146461371846302E-2</v>
      </c>
      <c r="M18" s="158"/>
      <c r="N18" s="161">
        <f>CHOOSE(Cover!$C$17,Assumptions!$K$18,Assumptions!$L$18)</f>
        <v>4.4146461371846302E-2</v>
      </c>
      <c r="O18" s="161">
        <f>CHOOSE(Cover!$C$17,Assumptions!$K$18,Assumptions!$L$18)</f>
        <v>4.4146461371846302E-2</v>
      </c>
      <c r="P18" s="161">
        <f>CHOOSE(Cover!$C$17,Assumptions!$K$18,Assumptions!$L$18)</f>
        <v>4.4146461371846302E-2</v>
      </c>
      <c r="Q18" s="161">
        <f>CHOOSE(Cover!$C$17,Assumptions!$K$18,Assumptions!$L$18)</f>
        <v>4.4146461371846302E-2</v>
      </c>
      <c r="R18" s="161">
        <f>CHOOSE(Cover!$C$17,Assumptions!$K$18,Assumptions!$L$18)</f>
        <v>4.4146461371846302E-2</v>
      </c>
      <c r="S18" s="161">
        <f>CHOOSE(Cover!$C$17,Assumptions!$K$18,Assumptions!$L$18)</f>
        <v>4.4146461371846302E-2</v>
      </c>
      <c r="T18" s="161">
        <f>CHOOSE(Cover!$C$17,Assumptions!$K$18,Assumptions!$L$18)</f>
        <v>4.4146461371846302E-2</v>
      </c>
      <c r="U18" s="161">
        <f>CHOOSE(Cover!$C$17,Assumptions!$K$18,Assumptions!$L$18)</f>
        <v>4.4146461371846302E-2</v>
      </c>
      <c r="V18" s="161">
        <f>CHOOSE(Cover!$C$17,Assumptions!$K$18,Assumptions!$L$18)</f>
        <v>4.4146461371846302E-2</v>
      </c>
      <c r="W18" s="161">
        <f>CHOOSE(Cover!$C$17,Assumptions!$K$18,Assumptions!$L$18)</f>
        <v>4.4146461371846302E-2</v>
      </c>
      <c r="X18" s="52"/>
    </row>
    <row r="19" spans="2:24" ht="15" customHeight="1">
      <c r="B19" s="38" t="s">
        <v>48</v>
      </c>
      <c r="C19" s="164">
        <v>0</v>
      </c>
      <c r="D19" s="158">
        <f>('Income Statement'!E19-'Income Statement'!D19)/'Income Statement'!D19</f>
        <v>0.10974644445198738</v>
      </c>
      <c r="E19" s="158">
        <f>('Income Statement'!F19-'Income Statement'!E19)/'Income Statement'!E19</f>
        <v>0.23941831955720641</v>
      </c>
      <c r="F19" s="158">
        <f>('Income Statement'!G19-'Income Statement'!F19)/'Income Statement'!F19</f>
        <v>0.16144281700929672</v>
      </c>
      <c r="G19" s="158">
        <f>('Income Statement'!H19-'Income Statement'!G19)/'Income Statement'!G19</f>
        <v>6.734262851703432E-2</v>
      </c>
      <c r="H19" s="158"/>
      <c r="I19" s="158"/>
      <c r="J19" s="158">
        <f>AVERAGE(D19:G19)</f>
        <v>0.1444875523838812</v>
      </c>
      <c r="K19" s="158">
        <f>J19</f>
        <v>0.1444875523838812</v>
      </c>
      <c r="L19" s="158">
        <f>J19</f>
        <v>0.1444875523838812</v>
      </c>
      <c r="M19" s="158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52"/>
    </row>
    <row r="20" spans="2:24" ht="15" customHeight="1">
      <c r="B20" s="51"/>
      <c r="C20" s="50"/>
      <c r="D20" s="160"/>
      <c r="E20" s="160"/>
      <c r="F20" s="160"/>
      <c r="G20" s="160"/>
      <c r="H20" s="158"/>
      <c r="I20" s="158"/>
      <c r="J20" s="160"/>
      <c r="K20" s="160"/>
      <c r="L20" s="160"/>
      <c r="M20" s="158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52"/>
    </row>
    <row r="21" spans="2:24" ht="15" customHeight="1">
      <c r="B21" s="38" t="s">
        <v>49</v>
      </c>
      <c r="C21" s="164">
        <v>0</v>
      </c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52"/>
    </row>
    <row r="22" spans="2:24" ht="15" customHeight="1">
      <c r="B22" s="52"/>
      <c r="C22" s="40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52"/>
    </row>
    <row r="23" spans="2:24" ht="15" customHeight="1">
      <c r="B23" s="42" t="s">
        <v>50</v>
      </c>
      <c r="C23" s="43"/>
      <c r="D23" s="165" t="s">
        <v>283</v>
      </c>
      <c r="E23" s="165" t="s">
        <v>283</v>
      </c>
      <c r="F23" s="165" t="s">
        <v>283</v>
      </c>
      <c r="G23" s="165" t="s">
        <v>283</v>
      </c>
      <c r="H23" s="165"/>
      <c r="I23" s="158"/>
      <c r="J23" s="162"/>
      <c r="K23" s="162"/>
      <c r="L23" s="162"/>
      <c r="M23" s="158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52"/>
    </row>
    <row r="24" spans="2:24" ht="15" customHeight="1">
      <c r="B24" s="32" t="s">
        <v>51</v>
      </c>
      <c r="C24" s="33">
        <v>0</v>
      </c>
      <c r="D24" s="166">
        <f>'Income Statement'!D24/'Income Statement'!D12</f>
        <v>8.7433858807402329E-2</v>
      </c>
      <c r="E24" s="166">
        <f>'Income Statement'!E24/'Income Statement'!E12</f>
        <v>9.3240650406504061E-2</v>
      </c>
      <c r="F24" s="166">
        <f>'Income Statement'!F24/'Income Statement'!F12</f>
        <v>9.5243987587276965E-2</v>
      </c>
      <c r="G24" s="166">
        <f>'Income Statement'!G24/'Income Statement'!G12</f>
        <v>8.0723852040816321E-2</v>
      </c>
      <c r="H24" s="166"/>
      <c r="I24" s="158"/>
      <c r="J24" s="158">
        <f>AVERAGE(D24:G24)</f>
        <v>8.9160587210499923E-2</v>
      </c>
      <c r="K24" s="158">
        <f>J24</f>
        <v>8.9160587210499923E-2</v>
      </c>
      <c r="L24" s="158">
        <f>J24</f>
        <v>8.9160587210499923E-2</v>
      </c>
      <c r="M24" s="158"/>
      <c r="N24" s="159">
        <f>CHOOSE(Cover!$C$17,Assumptions!$K$24,Assumptions!$L$24)</f>
        <v>8.9160587210499923E-2</v>
      </c>
      <c r="O24" s="159">
        <f>CHOOSE(Cover!$C$17,Assumptions!$K$24,Assumptions!$L$24)</f>
        <v>8.9160587210499923E-2</v>
      </c>
      <c r="P24" s="159">
        <f>CHOOSE(Cover!$C$17,Assumptions!$K$24,Assumptions!$L$24)</f>
        <v>8.9160587210499923E-2</v>
      </c>
      <c r="Q24" s="159">
        <f>CHOOSE(Cover!$C$17,Assumptions!$K$24,Assumptions!$L$24)</f>
        <v>8.9160587210499923E-2</v>
      </c>
      <c r="R24" s="159">
        <f>CHOOSE(Cover!$C$17,Assumptions!$K$24,Assumptions!$L$24)</f>
        <v>8.9160587210499923E-2</v>
      </c>
      <c r="S24" s="159">
        <f>CHOOSE(Cover!$C$17,Assumptions!$K$24,Assumptions!$L$24)</f>
        <v>8.9160587210499923E-2</v>
      </c>
      <c r="T24" s="159">
        <f>CHOOSE(Cover!$C$17,Assumptions!$K$24,Assumptions!$L$24)</f>
        <v>8.9160587210499923E-2</v>
      </c>
      <c r="U24" s="159">
        <f>CHOOSE(Cover!$C$17,Assumptions!$K$24,Assumptions!$L$24)</f>
        <v>8.9160587210499923E-2</v>
      </c>
      <c r="V24" s="159">
        <f>CHOOSE(Cover!$C$17,Assumptions!$K$24,Assumptions!$L$24)</f>
        <v>8.9160587210499923E-2</v>
      </c>
      <c r="W24" s="159">
        <f>CHOOSE(Cover!$C$17,Assumptions!$K$24,Assumptions!$L$24)</f>
        <v>8.9160587210499923E-2</v>
      </c>
      <c r="X24" s="52"/>
    </row>
    <row r="25" spans="2:24" ht="15" customHeight="1">
      <c r="B25" s="32" t="s">
        <v>52</v>
      </c>
      <c r="C25" s="33">
        <v>0</v>
      </c>
      <c r="D25" s="166">
        <f>'Income Statement'!D25/'Income Statement'!D12</f>
        <v>5.4941740918437289E-3</v>
      </c>
      <c r="E25" s="166">
        <f>'Income Statement'!E25/'Income Statement'!E12</f>
        <v>5.7333333333333333E-3</v>
      </c>
      <c r="F25" s="166">
        <f>'Income Statement'!F25/'Income Statement'!F12</f>
        <v>6.8079906904577195E-3</v>
      </c>
      <c r="G25" s="166">
        <f>'Income Statement'!G25/'Income Statement'!G12</f>
        <v>6.1922831632653065E-3</v>
      </c>
      <c r="H25" s="166"/>
      <c r="I25" s="158"/>
      <c r="J25" s="158">
        <f>AVERAGE(D25:G25)</f>
        <v>6.0569453197250218E-3</v>
      </c>
      <c r="K25" s="158">
        <f>J25</f>
        <v>6.0569453197250218E-3</v>
      </c>
      <c r="L25" s="158">
        <f>J25</f>
        <v>6.0569453197250218E-3</v>
      </c>
      <c r="M25" s="158"/>
      <c r="N25" s="159">
        <f>CHOOSE(Cover!$C$17,Assumptions!$K$25,Assumptions!$L$25)</f>
        <v>6.0569453197250218E-3</v>
      </c>
      <c r="O25" s="159">
        <f>CHOOSE(Cover!$C$17,Assumptions!$K$25,Assumptions!$L$25)</f>
        <v>6.0569453197250218E-3</v>
      </c>
      <c r="P25" s="159">
        <f>CHOOSE(Cover!$C$17,Assumptions!$K$25,Assumptions!$L$25)</f>
        <v>6.0569453197250218E-3</v>
      </c>
      <c r="Q25" s="159">
        <f>CHOOSE(Cover!$C$17,Assumptions!$K$25,Assumptions!$L$25)</f>
        <v>6.0569453197250218E-3</v>
      </c>
      <c r="R25" s="159">
        <f>CHOOSE(Cover!$C$17,Assumptions!$K$25,Assumptions!$L$25)</f>
        <v>6.0569453197250218E-3</v>
      </c>
      <c r="S25" s="159">
        <f>CHOOSE(Cover!$C$17,Assumptions!$K$25,Assumptions!$L$25)</f>
        <v>6.0569453197250218E-3</v>
      </c>
      <c r="T25" s="159">
        <f>CHOOSE(Cover!$C$17,Assumptions!$K$25,Assumptions!$L$25)</f>
        <v>6.0569453197250218E-3</v>
      </c>
      <c r="U25" s="159">
        <f>CHOOSE(Cover!$C$17,Assumptions!$K$25,Assumptions!$L$25)</f>
        <v>6.0569453197250218E-3</v>
      </c>
      <c r="V25" s="159">
        <f>CHOOSE(Cover!$C$17,Assumptions!$K$25,Assumptions!$L$25)</f>
        <v>6.0569453197250218E-3</v>
      </c>
      <c r="W25" s="159">
        <f>CHOOSE(Cover!$C$17,Assumptions!$K$25,Assumptions!$L$25)</f>
        <v>6.0569453197250218E-3</v>
      </c>
      <c r="X25" s="52"/>
    </row>
    <row r="26" spans="2:24" ht="15" customHeight="1">
      <c r="B26" s="32" t="s">
        <v>53</v>
      </c>
      <c r="C26" s="33">
        <v>0</v>
      </c>
      <c r="D26" s="166">
        <f>'Income Statement'!D26/'Income Statement'!D12</f>
        <v>4.9129540781357095E-3</v>
      </c>
      <c r="E26" s="166">
        <f>'Income Statement'!E26/'Income Statement'!E12</f>
        <v>6.5989159891598915E-3</v>
      </c>
      <c r="F26" s="166">
        <f>'Income Statement'!F26/'Income Statement'!F12</f>
        <v>8.1598138091543825E-3</v>
      </c>
      <c r="G26" s="166">
        <f>'Income Statement'!G26/'Income Statement'!G12</f>
        <v>1.1651785714285713E-2</v>
      </c>
      <c r="H26" s="166"/>
      <c r="I26" s="158"/>
      <c r="J26" s="158">
        <f>AVERAGE(D26:G26)</f>
        <v>7.830867397683924E-3</v>
      </c>
      <c r="K26" s="158">
        <f>J26</f>
        <v>7.830867397683924E-3</v>
      </c>
      <c r="L26" s="158">
        <f>J26</f>
        <v>7.830867397683924E-3</v>
      </c>
      <c r="M26" s="158"/>
      <c r="N26" s="159">
        <f>CHOOSE(Cover!$C$17,Assumptions!$K$26,Assumptions!$L$26)</f>
        <v>7.830867397683924E-3</v>
      </c>
      <c r="O26" s="159">
        <f>CHOOSE(Cover!$C$17,Assumptions!$K$26,Assumptions!$L$26)</f>
        <v>7.830867397683924E-3</v>
      </c>
      <c r="P26" s="159">
        <f>CHOOSE(Cover!$C$17,Assumptions!$K$26,Assumptions!$L$26)</f>
        <v>7.830867397683924E-3</v>
      </c>
      <c r="Q26" s="159">
        <f>CHOOSE(Cover!$C$17,Assumptions!$K$26,Assumptions!$L$26)</f>
        <v>7.830867397683924E-3</v>
      </c>
      <c r="R26" s="159">
        <f>CHOOSE(Cover!$C$17,Assumptions!$K$26,Assumptions!$L$26)</f>
        <v>7.830867397683924E-3</v>
      </c>
      <c r="S26" s="159">
        <f>CHOOSE(Cover!$C$17,Assumptions!$K$26,Assumptions!$L$26)</f>
        <v>7.830867397683924E-3</v>
      </c>
      <c r="T26" s="159">
        <f>CHOOSE(Cover!$C$17,Assumptions!$K$26,Assumptions!$L$26)</f>
        <v>7.830867397683924E-3</v>
      </c>
      <c r="U26" s="159">
        <f>CHOOSE(Cover!$C$17,Assumptions!$K$26,Assumptions!$L$26)</f>
        <v>7.830867397683924E-3</v>
      </c>
      <c r="V26" s="159">
        <f>CHOOSE(Cover!$C$17,Assumptions!$K$26,Assumptions!$L$26)</f>
        <v>7.830867397683924E-3</v>
      </c>
      <c r="W26" s="159">
        <f>CHOOSE(Cover!$C$17,Assumptions!$K$26,Assumptions!$L$26)</f>
        <v>7.830867397683924E-3</v>
      </c>
      <c r="X26" s="52"/>
    </row>
    <row r="27" spans="2:24" ht="15" customHeight="1">
      <c r="B27" s="32" t="s">
        <v>54</v>
      </c>
      <c r="C27" s="33">
        <v>0</v>
      </c>
      <c r="D27" s="166">
        <f>'Income Statement'!D27/'Income Statement'!D12</f>
        <v>-5.7621658670322139E-3</v>
      </c>
      <c r="E27" s="166">
        <f>'Income Statement'!E27/'Income Statement'!E12</f>
        <v>1.2435772357723578E-2</v>
      </c>
      <c r="F27" s="166">
        <f>'Income Statement'!F27/'Income Statement'!F12</f>
        <v>-2.9127230411171452E-3</v>
      </c>
      <c r="G27" s="166">
        <f>'Income Statement'!G27/'Income Statement'!G12</f>
        <v>-1.2016262755102041E-2</v>
      </c>
      <c r="H27" s="166"/>
      <c r="I27" s="158"/>
      <c r="J27" s="158">
        <f>AVERAGE(D27:G27)</f>
        <v>-2.0638448263819555E-3</v>
      </c>
      <c r="K27" s="158">
        <f>J27</f>
        <v>-2.0638448263819555E-3</v>
      </c>
      <c r="L27" s="158">
        <f>J27</f>
        <v>-2.0638448263819555E-3</v>
      </c>
      <c r="M27" s="158"/>
      <c r="N27" s="159">
        <f>CHOOSE(Cover!$C$17,Assumptions!$K$27,Assumptions!$L$27)</f>
        <v>-2.0638448263819555E-3</v>
      </c>
      <c r="O27" s="159">
        <f>CHOOSE(Cover!$C$17,Assumptions!$K$27,Assumptions!$L$27)</f>
        <v>-2.0638448263819555E-3</v>
      </c>
      <c r="P27" s="159">
        <f>CHOOSE(Cover!$C$17,Assumptions!$K$27,Assumptions!$L$27)</f>
        <v>-2.0638448263819555E-3</v>
      </c>
      <c r="Q27" s="159">
        <f>CHOOSE(Cover!$C$17,Assumptions!$K$27,Assumptions!$L$27)</f>
        <v>-2.0638448263819555E-3</v>
      </c>
      <c r="R27" s="159">
        <f>CHOOSE(Cover!$C$17,Assumptions!$K$27,Assumptions!$L$27)</f>
        <v>-2.0638448263819555E-3</v>
      </c>
      <c r="S27" s="159">
        <f>CHOOSE(Cover!$C$17,Assumptions!$K$27,Assumptions!$L$27)</f>
        <v>-2.0638448263819555E-3</v>
      </c>
      <c r="T27" s="159">
        <f>CHOOSE(Cover!$C$17,Assumptions!$K$27,Assumptions!$L$27)</f>
        <v>-2.0638448263819555E-3</v>
      </c>
      <c r="U27" s="159">
        <f>CHOOSE(Cover!$C$17,Assumptions!$K$27,Assumptions!$L$27)</f>
        <v>-2.0638448263819555E-3</v>
      </c>
      <c r="V27" s="159">
        <f>CHOOSE(Cover!$C$17,Assumptions!$K$27,Assumptions!$L$27)</f>
        <v>-2.0638448263819555E-3</v>
      </c>
      <c r="W27" s="159">
        <f>CHOOSE(Cover!$C$17,Assumptions!$K$27,Assumptions!$L$27)</f>
        <v>-2.0638448263819555E-3</v>
      </c>
      <c r="X27" s="52"/>
    </row>
    <row r="28" spans="2:24" ht="15" customHeight="1">
      <c r="B28" s="32" t="s">
        <v>55</v>
      </c>
      <c r="C28" s="33">
        <v>0</v>
      </c>
      <c r="D28" s="166">
        <f>'Income Statement'!D28/'Income Statement'!D12</f>
        <v>2.6065798492117889E-3</v>
      </c>
      <c r="E28" s="166">
        <f>'Income Statement'!E28/'Income Statement'!E12</f>
        <v>2.7859078590785908E-4</v>
      </c>
      <c r="F28" s="166">
        <f>'Income Statement'!F28/'Income Statement'!F12</f>
        <v>8.4871993793638476E-4</v>
      </c>
      <c r="G28" s="166">
        <f>'Income Statement'!G28/'Income Statement'!G12</f>
        <v>3.322704081632653E-4</v>
      </c>
      <c r="H28" s="166"/>
      <c r="I28" s="158"/>
      <c r="J28" s="158">
        <f>AVERAGE(D28:G28)</f>
        <v>1.0165402453048244E-3</v>
      </c>
      <c r="K28" s="158">
        <f>J28</f>
        <v>1.0165402453048244E-3</v>
      </c>
      <c r="L28" s="158">
        <f>J28</f>
        <v>1.0165402453048244E-3</v>
      </c>
      <c r="M28" s="158"/>
      <c r="N28" s="159">
        <f>CHOOSE(Cover!$C$17,Assumptions!$K$28,Assumptions!$L$28)</f>
        <v>1.0165402453048244E-3</v>
      </c>
      <c r="O28" s="159">
        <f>CHOOSE(Cover!$C$17,Assumptions!$K$28,Assumptions!$L$28)</f>
        <v>1.0165402453048244E-3</v>
      </c>
      <c r="P28" s="159">
        <f>CHOOSE(Cover!$C$17,Assumptions!$K$28,Assumptions!$L$28)</f>
        <v>1.0165402453048244E-3</v>
      </c>
      <c r="Q28" s="159">
        <f>CHOOSE(Cover!$C$17,Assumptions!$K$28,Assumptions!$L$28)</f>
        <v>1.0165402453048244E-3</v>
      </c>
      <c r="R28" s="159">
        <f>CHOOSE(Cover!$C$17,Assumptions!$K$28,Assumptions!$L$28)</f>
        <v>1.0165402453048244E-3</v>
      </c>
      <c r="S28" s="159">
        <f>CHOOSE(Cover!$C$17,Assumptions!$K$28,Assumptions!$L$28)</f>
        <v>1.0165402453048244E-3</v>
      </c>
      <c r="T28" s="159">
        <f>CHOOSE(Cover!$C$17,Assumptions!$K$28,Assumptions!$L$28)</f>
        <v>1.0165402453048244E-3</v>
      </c>
      <c r="U28" s="159">
        <f>CHOOSE(Cover!$C$17,Assumptions!$K$28,Assumptions!$L$28)</f>
        <v>1.0165402453048244E-3</v>
      </c>
      <c r="V28" s="159">
        <f>CHOOSE(Cover!$C$17,Assumptions!$K$28,Assumptions!$L$28)</f>
        <v>1.0165402453048244E-3</v>
      </c>
      <c r="W28" s="159">
        <f>CHOOSE(Cover!$C$17,Assumptions!$K$28,Assumptions!$L$28)</f>
        <v>1.0165402453048244E-3</v>
      </c>
      <c r="X28" s="52"/>
    </row>
    <row r="29" spans="2:24" ht="15" customHeight="1">
      <c r="B29" s="51"/>
      <c r="C29" s="50"/>
      <c r="D29" s="160"/>
      <c r="E29" s="160"/>
      <c r="F29" s="160"/>
      <c r="G29" s="160"/>
      <c r="H29" s="158"/>
      <c r="I29" s="158"/>
      <c r="J29" s="160"/>
      <c r="K29" s="160"/>
      <c r="L29" s="160"/>
      <c r="M29" s="158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52"/>
    </row>
    <row r="30" spans="2:24" ht="15" customHeight="1">
      <c r="B30" s="38" t="s">
        <v>56</v>
      </c>
      <c r="C30" s="164">
        <v>0</v>
      </c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52"/>
    </row>
    <row r="31" spans="2:24" ht="15" customHeight="1">
      <c r="B31" s="52"/>
      <c r="C31" s="40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52"/>
    </row>
    <row r="32" spans="2:24" ht="15" customHeight="1">
      <c r="B32" s="42" t="s">
        <v>57</v>
      </c>
      <c r="C32" s="43"/>
      <c r="D32" s="162"/>
      <c r="E32" s="162"/>
      <c r="F32" s="162"/>
      <c r="G32" s="162"/>
      <c r="H32" s="162"/>
      <c r="I32" s="158"/>
      <c r="J32" s="162"/>
      <c r="K32" s="162"/>
      <c r="L32" s="162"/>
      <c r="M32" s="158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52"/>
    </row>
    <row r="33" spans="2:24" ht="15" customHeight="1">
      <c r="B33" s="32" t="s">
        <v>58</v>
      </c>
      <c r="C33" s="33">
        <v>0</v>
      </c>
      <c r="D33" s="158">
        <f>('Income Statement'!E33-'Income Statement'!D33)/'Income Statement'!D33</f>
        <v>0.11898919229363546</v>
      </c>
      <c r="E33" s="158">
        <f>('Income Statement'!F33-'Income Statement'!E33)/'Income Statement'!E33</f>
        <v>0.3515887458006719</v>
      </c>
      <c r="F33" s="158">
        <f>('Income Statement'!G33-'Income Statement'!F33)/'Income Statement'!F33</f>
        <v>0.27014991067498639</v>
      </c>
      <c r="G33" s="158">
        <f>('Income Statement'!H33-'Income Statement'!G33)/'Income Statement'!G33</f>
        <v>-0.21740696196940973</v>
      </c>
      <c r="H33" s="158"/>
      <c r="I33" s="158"/>
      <c r="J33" s="158">
        <f>AVERAGE(D33:G33)</f>
        <v>0.13083022169997099</v>
      </c>
      <c r="K33" s="158">
        <v>-0.03</v>
      </c>
      <c r="L33" s="158">
        <v>-0.06</v>
      </c>
      <c r="M33" s="158"/>
      <c r="N33" s="159">
        <f>CHOOSE(Cover!$C$17,Assumptions!$K$33,Assumptions!$L$33)</f>
        <v>-0.06</v>
      </c>
      <c r="O33" s="159">
        <f>CHOOSE(Cover!$C$17,Assumptions!$K$33,Assumptions!$L$33)</f>
        <v>-0.06</v>
      </c>
      <c r="P33" s="159">
        <f>CHOOSE(Cover!$C$17,Assumptions!$K$33,Assumptions!$L$33)</f>
        <v>-0.06</v>
      </c>
      <c r="Q33" s="159">
        <f>CHOOSE(Cover!$C$17,Assumptions!$K$33,Assumptions!$L$33)</f>
        <v>-0.06</v>
      </c>
      <c r="R33" s="159">
        <f>CHOOSE(Cover!$C$17,Assumptions!$K$33,Assumptions!$L$33)</f>
        <v>-0.06</v>
      </c>
      <c r="S33" s="159">
        <f>CHOOSE(Cover!$C$17,Assumptions!$K$33,Assumptions!$L$33)</f>
        <v>-0.06</v>
      </c>
      <c r="T33" s="159">
        <f>CHOOSE(Cover!$C$17,Assumptions!$K$33,Assumptions!$L$33)</f>
        <v>-0.06</v>
      </c>
      <c r="U33" s="159">
        <f>CHOOSE(Cover!$C$17,Assumptions!$K$33,Assumptions!$L$33)</f>
        <v>-0.06</v>
      </c>
      <c r="V33" s="159">
        <f>CHOOSE(Cover!$C$17,Assumptions!$K$33,Assumptions!$L$33)</f>
        <v>-0.06</v>
      </c>
      <c r="W33" s="159">
        <f>CHOOSE(Cover!$C$17,Assumptions!$K$33,Assumptions!$L$33)</f>
        <v>-0.06</v>
      </c>
      <c r="X33" s="52"/>
    </row>
    <row r="34" spans="2:24" ht="15" customHeight="1">
      <c r="B34" s="32" t="s">
        <v>59</v>
      </c>
      <c r="C34" s="33">
        <v>0</v>
      </c>
      <c r="D34" s="158">
        <f>('Income Statement'!E34-'Income Statement'!D34)/'Income Statement'!D34</f>
        <v>-6.8224120041503715</v>
      </c>
      <c r="E34" s="158">
        <f>('Income Statement'!F34-'Income Statement'!E34)/'Income Statement'!E34</f>
        <v>-1.5180468546518802</v>
      </c>
      <c r="F34" s="158">
        <f>('Income Statement'!G34-'Income Statement'!F34)/'Income Statement'!F34</f>
        <v>-5.8451483157365507</v>
      </c>
      <c r="G34" s="158">
        <f>('Income Statement'!H34-'Income Statement'!G34)/-'Income Statement'!G34</f>
        <v>1.5189265058464361</v>
      </c>
      <c r="H34" s="158"/>
      <c r="I34" s="158"/>
      <c r="J34" s="158">
        <f>AVERAGE(D34:G34)</f>
        <v>-3.1666701671730917</v>
      </c>
      <c r="K34" s="158">
        <v>0</v>
      </c>
      <c r="L34" s="158">
        <f>K34</f>
        <v>0</v>
      </c>
      <c r="M34" s="158"/>
      <c r="N34" s="159">
        <f>CHOOSE(Cover!$C$17,Assumptions!$K$34,Assumptions!$L$34)</f>
        <v>0</v>
      </c>
      <c r="O34" s="159">
        <f>CHOOSE(Cover!$C$17,Assumptions!$K$34,Assumptions!$L$34)</f>
        <v>0</v>
      </c>
      <c r="P34" s="159">
        <f>CHOOSE(Cover!$C$17,Assumptions!$K$34,Assumptions!$L$34)</f>
        <v>0</v>
      </c>
      <c r="Q34" s="159">
        <f>CHOOSE(Cover!$C$17,Assumptions!$K$34,Assumptions!$L$34)</f>
        <v>0</v>
      </c>
      <c r="R34" s="159">
        <f>CHOOSE(Cover!$C$17,Assumptions!$K$34,Assumptions!$L$34)</f>
        <v>0</v>
      </c>
      <c r="S34" s="159">
        <f>CHOOSE(Cover!$C$17,Assumptions!$K$34,Assumptions!$L$34)</f>
        <v>0</v>
      </c>
      <c r="T34" s="159">
        <f>CHOOSE(Cover!$C$17,Assumptions!$K$34,Assumptions!$L$34)</f>
        <v>0</v>
      </c>
      <c r="U34" s="159">
        <f>CHOOSE(Cover!$C$17,Assumptions!$K$34,Assumptions!$L$34)</f>
        <v>0</v>
      </c>
      <c r="V34" s="159">
        <f>CHOOSE(Cover!$C$17,Assumptions!$K$34,Assumptions!$L$34)</f>
        <v>0</v>
      </c>
      <c r="W34" s="159">
        <f>CHOOSE(Cover!$C$17,Assumptions!$K$34,Assumptions!$L$34)</f>
        <v>0</v>
      </c>
      <c r="X34" s="52"/>
    </row>
    <row r="35" spans="2:24" ht="15" customHeight="1">
      <c r="B35" s="32" t="s">
        <v>60</v>
      </c>
      <c r="C35" s="33">
        <v>0</v>
      </c>
      <c r="D35" s="158">
        <f>('Income Statement'!E35-'Income Statement'!D35)/'Income Statement'!D35</f>
        <v>4.511316872427984</v>
      </c>
      <c r="E35" s="158">
        <f>('Income Statement'!F35-'Income Statement'!E35)/'Income Statement'!E35</f>
        <v>1.977946078562095</v>
      </c>
      <c r="F35" s="158">
        <f>('Income Statement'!G35-'Income Statement'!F35)/'Income Statement'!F35</f>
        <v>-0.80990418196471747</v>
      </c>
      <c r="G35" s="158">
        <f>('Income Statement'!H35-'Income Statement'!G35)/'Income Statement'!G35</f>
        <v>9.1577162238552862E-2</v>
      </c>
      <c r="H35" s="158"/>
      <c r="I35" s="158"/>
      <c r="J35" s="158">
        <f>AVERAGE(D35:G35)</f>
        <v>1.4427339828159786</v>
      </c>
      <c r="K35" s="158">
        <v>0</v>
      </c>
      <c r="L35" s="158">
        <f>K35</f>
        <v>0</v>
      </c>
      <c r="M35" s="158"/>
      <c r="N35" s="159">
        <f>CHOOSE(Cover!$C$17,Assumptions!$K$35,Assumptions!$L$35)</f>
        <v>0</v>
      </c>
      <c r="O35" s="159">
        <f>CHOOSE(Cover!$C$17,Assumptions!$K$35,Assumptions!$L$35)</f>
        <v>0</v>
      </c>
      <c r="P35" s="159">
        <f>CHOOSE(Cover!$C$17,Assumptions!$K$35,Assumptions!$L$35)</f>
        <v>0</v>
      </c>
      <c r="Q35" s="159">
        <f>CHOOSE(Cover!$C$17,Assumptions!$K$35,Assumptions!$L$35)</f>
        <v>0</v>
      </c>
      <c r="R35" s="159">
        <f>CHOOSE(Cover!$C$17,Assumptions!$K$35,Assumptions!$L$35)</f>
        <v>0</v>
      </c>
      <c r="S35" s="159">
        <f>CHOOSE(Cover!$C$17,Assumptions!$K$35,Assumptions!$L$35)</f>
        <v>0</v>
      </c>
      <c r="T35" s="159">
        <f>CHOOSE(Cover!$C$17,Assumptions!$K$35,Assumptions!$L$35)</f>
        <v>0</v>
      </c>
      <c r="U35" s="159">
        <f>CHOOSE(Cover!$C$17,Assumptions!$K$35,Assumptions!$L$35)</f>
        <v>0</v>
      </c>
      <c r="V35" s="159">
        <f>CHOOSE(Cover!$C$17,Assumptions!$K$35,Assumptions!$L$35)</f>
        <v>0</v>
      </c>
      <c r="W35" s="159">
        <f>CHOOSE(Cover!$C$17,Assumptions!$K$35,Assumptions!$L$35)</f>
        <v>0</v>
      </c>
      <c r="X35" s="52"/>
    </row>
    <row r="36" spans="2:24" ht="15" customHeight="1">
      <c r="B36" s="167" t="s">
        <v>61</v>
      </c>
      <c r="C36" s="168">
        <v>0</v>
      </c>
      <c r="D36" s="169" t="s">
        <v>284</v>
      </c>
      <c r="E36" s="170"/>
      <c r="F36" s="170"/>
      <c r="G36" s="170"/>
      <c r="H36" s="170"/>
      <c r="I36" s="170"/>
      <c r="J36" s="170"/>
      <c r="K36" s="170"/>
      <c r="L36" s="170"/>
      <c r="M36" s="170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52"/>
    </row>
    <row r="37" spans="2:24" ht="15" customHeight="1">
      <c r="B37" s="32" t="s">
        <v>62</v>
      </c>
      <c r="C37" s="33">
        <v>0</v>
      </c>
      <c r="D37" s="158"/>
      <c r="E37" s="158"/>
      <c r="F37" s="158"/>
      <c r="G37" s="158">
        <f>('Income Statement'!H37-'Income Statement'!G37)/'Income Statement'!G37</f>
        <v>-1.9423508402399376</v>
      </c>
      <c r="H37" s="158"/>
      <c r="I37" s="158"/>
      <c r="J37" s="158">
        <f>AVERAGE(D37:G37)</f>
        <v>-1.9423508402399376</v>
      </c>
      <c r="K37" s="158">
        <v>0</v>
      </c>
      <c r="L37" s="158">
        <f>K37</f>
        <v>0</v>
      </c>
      <c r="M37" s="158"/>
      <c r="N37" s="159">
        <f>CHOOSE(Cover!$C$17,Assumptions!$K$37,Assumptions!$L$37)</f>
        <v>0</v>
      </c>
      <c r="O37" s="159">
        <f>CHOOSE(Cover!$C$17,Assumptions!$K$37,Assumptions!$L$37)</f>
        <v>0</v>
      </c>
      <c r="P37" s="159">
        <f>CHOOSE(Cover!$C$17,Assumptions!$K$37,Assumptions!$L$37)</f>
        <v>0</v>
      </c>
      <c r="Q37" s="159">
        <f>CHOOSE(Cover!$C$17,Assumptions!$K$37,Assumptions!$L$37)</f>
        <v>0</v>
      </c>
      <c r="R37" s="159">
        <f>CHOOSE(Cover!$C$17,Assumptions!$K$37,Assumptions!$L$37)</f>
        <v>0</v>
      </c>
      <c r="S37" s="159">
        <f>CHOOSE(Cover!$C$17,Assumptions!$K$37,Assumptions!$L$37)</f>
        <v>0</v>
      </c>
      <c r="T37" s="159">
        <f>CHOOSE(Cover!$C$17,Assumptions!$K$37,Assumptions!$L$37)</f>
        <v>0</v>
      </c>
      <c r="U37" s="159">
        <f>CHOOSE(Cover!$C$17,Assumptions!$K$37,Assumptions!$L$37)</f>
        <v>0</v>
      </c>
      <c r="V37" s="159">
        <f>CHOOSE(Cover!$C$17,Assumptions!$K$37,Assumptions!$L$37)</f>
        <v>0</v>
      </c>
      <c r="W37" s="159">
        <f>CHOOSE(Cover!$C$17,Assumptions!$K$37,Assumptions!$L$37)</f>
        <v>0</v>
      </c>
      <c r="X37" s="52"/>
    </row>
    <row r="38" spans="2:24" ht="15" customHeight="1">
      <c r="B38" s="32" t="s">
        <v>63</v>
      </c>
      <c r="C38" s="33">
        <v>0</v>
      </c>
      <c r="D38" s="158">
        <f>('Income Statement'!E38-'Income Statement'!D38)/'Income Statement'!D38</f>
        <v>3.5395963096520395</v>
      </c>
      <c r="E38" s="158">
        <f>('Income Statement'!F38-'Income Statement'!E38)/'Income Statement'!E38</f>
        <v>-0.83248395815709653</v>
      </c>
      <c r="F38" s="158">
        <f>('Income Statement'!G38-'Income Statement'!F38)/'Income Statement'!F38</f>
        <v>-0.93995565956398575</v>
      </c>
      <c r="G38" s="158">
        <f>('Income Statement'!H38-'Income Statement'!G38)/'Income Statement'!G38</f>
        <v>0.49641025641025643</v>
      </c>
      <c r="H38" s="158"/>
      <c r="I38" s="158"/>
      <c r="J38" s="158">
        <f>AVERAGE(D38:G38)</f>
        <v>0.56589173708530338</v>
      </c>
      <c r="K38" s="158">
        <v>0</v>
      </c>
      <c r="L38" s="158">
        <f>K38</f>
        <v>0</v>
      </c>
      <c r="M38" s="158"/>
      <c r="N38" s="159">
        <f>CHOOSE(Cover!$C$17,Assumptions!$K$38,Assumptions!$L$38)</f>
        <v>0</v>
      </c>
      <c r="O38" s="159">
        <f>CHOOSE(Cover!$C$17,Assumptions!$K$38,Assumptions!$L$38)</f>
        <v>0</v>
      </c>
      <c r="P38" s="159">
        <f>CHOOSE(Cover!$C$17,Assumptions!$K$38,Assumptions!$L$38)</f>
        <v>0</v>
      </c>
      <c r="Q38" s="159">
        <f>CHOOSE(Cover!$C$17,Assumptions!$K$38,Assumptions!$L$38)</f>
        <v>0</v>
      </c>
      <c r="R38" s="159">
        <f>CHOOSE(Cover!$C$17,Assumptions!$K$38,Assumptions!$L$38)</f>
        <v>0</v>
      </c>
      <c r="S38" s="159">
        <f>CHOOSE(Cover!$C$17,Assumptions!$K$38,Assumptions!$L$38)</f>
        <v>0</v>
      </c>
      <c r="T38" s="159">
        <f>CHOOSE(Cover!$C$17,Assumptions!$K$38,Assumptions!$L$38)</f>
        <v>0</v>
      </c>
      <c r="U38" s="159">
        <f>CHOOSE(Cover!$C$17,Assumptions!$K$38,Assumptions!$L$38)</f>
        <v>0</v>
      </c>
      <c r="V38" s="159">
        <f>CHOOSE(Cover!$C$17,Assumptions!$K$38,Assumptions!$L$38)</f>
        <v>0</v>
      </c>
      <c r="W38" s="159">
        <f>CHOOSE(Cover!$C$17,Assumptions!$K$38,Assumptions!$L$38)</f>
        <v>0</v>
      </c>
      <c r="X38" s="52"/>
    </row>
    <row r="39" spans="2:24" ht="15" customHeight="1">
      <c r="B39" s="51"/>
      <c r="C39" s="50"/>
      <c r="D39" s="160"/>
      <c r="E39" s="160"/>
      <c r="F39" s="160"/>
      <c r="G39" s="160"/>
      <c r="H39" s="158"/>
      <c r="I39" s="158"/>
      <c r="J39" s="160"/>
      <c r="K39" s="160"/>
      <c r="L39" s="160"/>
      <c r="M39" s="158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52"/>
    </row>
    <row r="40" spans="2:24" ht="15" customHeight="1">
      <c r="B40" s="38" t="s">
        <v>64</v>
      </c>
      <c r="C40" s="164">
        <v>0</v>
      </c>
      <c r="D40" s="158">
        <f>('Income Statement'!E40-'Income Statement'!D40)/'Income Statement'!D40</f>
        <v>-1.8164748928794954</v>
      </c>
      <c r="E40" s="158">
        <f>('Income Statement'!F40-'Income Statement'!E40)/'Income Statement'!E40</f>
        <v>4.7450675157733357</v>
      </c>
      <c r="F40" s="158">
        <f>('Income Statement'!G40-'Income Statement'!F40)/'Income Statement'!F40</f>
        <v>-0.47302798094233228</v>
      </c>
      <c r="G40" s="158">
        <f>('Income Statement'!H40-'Income Statement'!G40)/'Income Statement'!G40</f>
        <v>2.0277076613845653</v>
      </c>
      <c r="H40" s="158"/>
      <c r="I40" s="158"/>
      <c r="J40" s="158">
        <f>AVERAGE(D40:G40)</f>
        <v>1.1208180758340185</v>
      </c>
      <c r="K40" s="158">
        <f>J40</f>
        <v>1.1208180758340185</v>
      </c>
      <c r="L40" s="158"/>
      <c r="M40" s="158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52"/>
    </row>
    <row r="41" spans="2:24" ht="15" customHeight="1">
      <c r="B41" s="52"/>
      <c r="C41" s="40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52"/>
    </row>
    <row r="42" spans="2:24" ht="15" customHeight="1">
      <c r="B42" s="32" t="s">
        <v>65</v>
      </c>
      <c r="C42" s="33">
        <v>0</v>
      </c>
      <c r="D42" s="158">
        <f>'Income Statement'!D42/'Income Statement'!D40</f>
        <v>1.1564200086659284E-2</v>
      </c>
      <c r="E42" s="158">
        <f>'Income Statement'!E42/'Income Statement'!E40</f>
        <v>-5.2703579220472904E-2</v>
      </c>
      <c r="F42" s="158">
        <f>'Income Statement'!F42/'Income Statement'!F40</f>
        <v>0.25933741555527728</v>
      </c>
      <c r="G42" s="158">
        <f>'Income Statement'!G42/'Income Statement'!G40</f>
        <v>0.33061437541875066</v>
      </c>
      <c r="H42" s="158"/>
      <c r="I42" s="158"/>
      <c r="J42" s="158">
        <f>AVERAGE(D42:G42)</f>
        <v>0.13720310296005359</v>
      </c>
      <c r="K42" s="158">
        <f>AVERAGE(F42:G42)</f>
        <v>0.29497589548701397</v>
      </c>
      <c r="L42" s="158">
        <f>K42</f>
        <v>0.29497589548701397</v>
      </c>
      <c r="M42" s="158"/>
      <c r="N42" s="159">
        <f>CHOOSE(Cover!$C$17,Assumptions!$K$42,Assumptions!$L$42)</f>
        <v>0.29497589548701397</v>
      </c>
      <c r="O42" s="159">
        <f>CHOOSE(Cover!$C$17,Assumptions!$K$42,Assumptions!$L$42)</f>
        <v>0.29497589548701397</v>
      </c>
      <c r="P42" s="159">
        <f>CHOOSE(Cover!$C$17,Assumptions!$K$42,Assumptions!$L$42)</f>
        <v>0.29497589548701397</v>
      </c>
      <c r="Q42" s="159">
        <f>CHOOSE(Cover!$C$17,Assumptions!$K$42,Assumptions!$L$42)</f>
        <v>0.29497589548701397</v>
      </c>
      <c r="R42" s="159">
        <f>CHOOSE(Cover!$C$17,Assumptions!$K$42,Assumptions!$L$42)</f>
        <v>0.29497589548701397</v>
      </c>
      <c r="S42" s="159">
        <f>CHOOSE(Cover!$C$17,Assumptions!$K$42,Assumptions!$L$42)</f>
        <v>0.29497589548701397</v>
      </c>
      <c r="T42" s="159">
        <f>CHOOSE(Cover!$C$17,Assumptions!$K$42,Assumptions!$L$42)</f>
        <v>0.29497589548701397</v>
      </c>
      <c r="U42" s="159">
        <f>CHOOSE(Cover!$C$17,Assumptions!$K$42,Assumptions!$L$42)</f>
        <v>0.29497589548701397</v>
      </c>
      <c r="V42" s="159">
        <f>CHOOSE(Cover!$C$17,Assumptions!$K$42,Assumptions!$L$42)</f>
        <v>0.29497589548701397</v>
      </c>
      <c r="W42" s="159">
        <f>CHOOSE(Cover!$C$17,Assumptions!$K$42,Assumptions!$L$42)</f>
        <v>0.29497589548701397</v>
      </c>
      <c r="X42" s="52"/>
    </row>
    <row r="43" spans="2:24" ht="15" customHeight="1">
      <c r="B43" s="51"/>
      <c r="C43" s="50"/>
      <c r="D43" s="160"/>
      <c r="E43" s="160"/>
      <c r="F43" s="160"/>
      <c r="G43" s="160"/>
      <c r="H43" s="158"/>
      <c r="I43" s="158"/>
      <c r="J43" s="160"/>
      <c r="K43" s="160"/>
      <c r="L43" s="160"/>
      <c r="M43" s="158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52"/>
    </row>
    <row r="44" spans="2:24" ht="15" customHeight="1">
      <c r="B44" s="38" t="s">
        <v>66</v>
      </c>
      <c r="C44" s="164">
        <v>0</v>
      </c>
      <c r="D44" s="158">
        <f>('Income Statement'!E44-'Income Statement'!D44)/'Income Statement'!D44</f>
        <v>-1.8695618290568317</v>
      </c>
      <c r="E44" s="158">
        <f>('Income Statement'!F44-'Income Statement'!E44)/'Income Statement'!E44</f>
        <v>3.0421222441297724</v>
      </c>
      <c r="F44" s="158">
        <f>('Income Statement'!G44-'Income Statement'!F44)/'Income Statement'!F44</f>
        <v>-0.52374063234446366</v>
      </c>
      <c r="G44" s="158">
        <f>('Income Statement'!H44-'Income Statement'!G44)/'Income Statement'!G44</f>
        <v>2.4307212439333807</v>
      </c>
      <c r="H44" s="158"/>
      <c r="I44" s="158"/>
      <c r="J44" s="158">
        <f>AVERAGE(D44:G44)</f>
        <v>0.76988525666546448</v>
      </c>
      <c r="K44" s="158">
        <f>J44</f>
        <v>0.76988525666546448</v>
      </c>
      <c r="L44" s="158"/>
      <c r="M44" s="158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52"/>
    </row>
    <row r="45" spans="2:24" ht="15" customHeight="1">
      <c r="B45" s="52"/>
      <c r="C45" s="40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52"/>
    </row>
    <row r="46" spans="2:24" ht="15" customHeight="1">
      <c r="B46" s="98" t="s">
        <v>285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spans="2:24" ht="15" customHeight="1">
      <c r="B47" s="172" t="s">
        <v>286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245"/>
      <c r="O47" s="245"/>
      <c r="P47" s="52"/>
      <c r="Q47" s="52"/>
      <c r="R47" s="52"/>
      <c r="S47" s="52"/>
      <c r="T47" s="52"/>
      <c r="U47" s="52"/>
      <c r="V47" s="52"/>
      <c r="W47" s="52"/>
      <c r="X47" s="52"/>
    </row>
    <row r="48" spans="2:24" ht="15" customHeight="1">
      <c r="B48" s="75" t="s">
        <v>287</v>
      </c>
      <c r="C48" s="52"/>
      <c r="D48" s="52"/>
      <c r="E48" s="52"/>
      <c r="F48" s="52"/>
      <c r="G48" s="52"/>
      <c r="H48" s="52"/>
      <c r="I48" s="52"/>
      <c r="J48" s="173" t="s">
        <v>288</v>
      </c>
      <c r="K48" s="174">
        <v>40</v>
      </c>
      <c r="L48" s="174">
        <v>40</v>
      </c>
      <c r="M48" s="52"/>
      <c r="N48" s="245"/>
      <c r="O48" s="245"/>
      <c r="P48" s="52"/>
      <c r="Q48" s="52"/>
      <c r="R48" s="52"/>
      <c r="S48" s="52"/>
      <c r="T48" s="52"/>
      <c r="U48" s="52"/>
      <c r="V48" s="52"/>
      <c r="W48" s="52"/>
      <c r="X48" s="52"/>
    </row>
    <row r="49" spans="2:24" ht="15" customHeight="1">
      <c r="B49" s="75" t="s">
        <v>289</v>
      </c>
      <c r="C49" s="52"/>
      <c r="D49" s="52"/>
      <c r="E49" s="52"/>
      <c r="F49" s="52"/>
      <c r="G49" s="52"/>
      <c r="H49" s="52"/>
      <c r="I49" s="52"/>
      <c r="J49" s="173" t="s">
        <v>290</v>
      </c>
      <c r="K49" s="174">
        <v>125</v>
      </c>
      <c r="L49" s="174">
        <v>125</v>
      </c>
      <c r="M49" s="52"/>
      <c r="N49" s="245"/>
      <c r="O49" s="245"/>
      <c r="P49" s="52"/>
      <c r="Q49" s="52"/>
      <c r="R49" s="52"/>
      <c r="S49" s="52"/>
      <c r="T49" s="52"/>
      <c r="U49" s="52"/>
      <c r="V49" s="52"/>
      <c r="W49" s="52"/>
      <c r="X49" s="52"/>
    </row>
    <row r="50" spans="2:24" ht="15" customHeight="1">
      <c r="B50" s="75" t="s">
        <v>291</v>
      </c>
      <c r="C50" s="52"/>
      <c r="D50" s="52"/>
      <c r="E50" s="52"/>
      <c r="F50" s="52"/>
      <c r="G50" s="52"/>
      <c r="H50" s="52"/>
      <c r="I50" s="52"/>
      <c r="J50" s="173" t="s">
        <v>292</v>
      </c>
      <c r="K50" s="174">
        <v>100</v>
      </c>
      <c r="L50" s="174">
        <v>100</v>
      </c>
      <c r="M50" s="52"/>
      <c r="N50" s="245"/>
      <c r="O50" s="245"/>
      <c r="P50" s="52"/>
      <c r="Q50" s="52"/>
      <c r="R50" s="52"/>
      <c r="S50" s="52"/>
      <c r="T50" s="52"/>
      <c r="U50" s="52"/>
      <c r="V50" s="52"/>
      <c r="W50" s="52"/>
      <c r="X50" s="52"/>
    </row>
    <row r="51" spans="2:24" ht="15" customHeight="1">
      <c r="B51" s="75" t="s">
        <v>293</v>
      </c>
      <c r="C51" s="52"/>
      <c r="D51" s="52"/>
      <c r="E51" s="52"/>
      <c r="F51" s="52"/>
      <c r="G51" s="52"/>
      <c r="H51" s="52"/>
      <c r="I51" s="52"/>
      <c r="J51" s="173" t="s">
        <v>294</v>
      </c>
      <c r="K51" s="129">
        <v>4.7E-2</v>
      </c>
      <c r="L51" s="129">
        <v>4.7E-2</v>
      </c>
      <c r="M51" s="52"/>
      <c r="N51" s="245"/>
      <c r="O51" s="245"/>
      <c r="P51" s="52"/>
      <c r="Q51" s="52"/>
      <c r="R51" s="52"/>
      <c r="S51" s="52"/>
      <c r="T51" s="52"/>
      <c r="U51" s="52"/>
      <c r="V51" s="52"/>
      <c r="W51" s="52"/>
      <c r="X51" s="52"/>
    </row>
    <row r="52" spans="2:24" ht="15" customHeight="1">
      <c r="B52" s="75" t="s">
        <v>295</v>
      </c>
      <c r="C52" s="52"/>
      <c r="D52" s="52"/>
      <c r="E52" s="52"/>
      <c r="F52" s="52"/>
      <c r="G52" s="52"/>
      <c r="H52" s="52"/>
      <c r="I52" s="52"/>
      <c r="J52" s="173" t="s">
        <v>296</v>
      </c>
      <c r="K52" s="52" t="s">
        <v>297</v>
      </c>
      <c r="L52" s="52" t="s">
        <v>297</v>
      </c>
      <c r="M52" s="52"/>
      <c r="N52" s="245"/>
      <c r="O52" s="245"/>
      <c r="P52" s="52"/>
      <c r="Q52" s="52"/>
      <c r="R52" s="52"/>
      <c r="S52" s="52"/>
      <c r="T52" s="52"/>
      <c r="U52" s="52"/>
      <c r="V52" s="52"/>
      <c r="W52" s="52"/>
      <c r="X52" s="52"/>
    </row>
    <row r="53" spans="2:24" ht="15" customHeight="1">
      <c r="B53" s="75" t="s">
        <v>298</v>
      </c>
      <c r="C53" s="52"/>
      <c r="D53" s="52"/>
      <c r="E53" s="52"/>
      <c r="F53" s="52"/>
      <c r="G53" s="52"/>
      <c r="H53" s="52"/>
      <c r="I53" s="52"/>
      <c r="J53" s="173" t="s">
        <v>299</v>
      </c>
      <c r="K53" s="52" t="s">
        <v>297</v>
      </c>
      <c r="L53" s="52" t="s">
        <v>297</v>
      </c>
      <c r="M53" s="52"/>
      <c r="N53" s="245"/>
      <c r="O53" s="245"/>
      <c r="P53" s="52"/>
      <c r="Q53" s="52"/>
      <c r="R53" s="52"/>
      <c r="S53" s="52"/>
      <c r="T53" s="52"/>
      <c r="U53" s="52"/>
      <c r="V53" s="52"/>
      <c r="W53" s="52"/>
      <c r="X53" s="52"/>
    </row>
    <row r="54" spans="2:24" ht="15" customHeight="1">
      <c r="B54" s="75" t="s">
        <v>300</v>
      </c>
      <c r="C54" s="52"/>
      <c r="D54" s="52"/>
      <c r="E54" s="52"/>
      <c r="F54" s="52"/>
      <c r="G54" s="52"/>
      <c r="H54" s="52"/>
      <c r="I54" s="52"/>
      <c r="J54" s="173" t="s">
        <v>301</v>
      </c>
      <c r="K54" s="52" t="s">
        <v>297</v>
      </c>
      <c r="L54" s="52" t="s">
        <v>297</v>
      </c>
      <c r="M54" s="52"/>
      <c r="N54" s="245"/>
      <c r="O54" s="245"/>
      <c r="P54" s="52"/>
      <c r="Q54" s="52"/>
      <c r="R54" s="52"/>
      <c r="S54" s="52"/>
      <c r="T54" s="52"/>
      <c r="U54" s="52"/>
      <c r="V54" s="52"/>
      <c r="W54" s="52"/>
      <c r="X54" s="52"/>
    </row>
    <row r="55" spans="2:24" ht="15" customHeight="1">
      <c r="B55" s="75" t="s">
        <v>302</v>
      </c>
      <c r="C55" s="52"/>
      <c r="D55" s="52"/>
      <c r="E55" s="52"/>
      <c r="F55" s="52"/>
      <c r="G55" s="52"/>
      <c r="H55" s="52"/>
      <c r="I55" s="52"/>
      <c r="J55" s="173" t="s">
        <v>303</v>
      </c>
      <c r="K55" s="52" t="s">
        <v>297</v>
      </c>
      <c r="L55" s="52" t="s">
        <v>297</v>
      </c>
      <c r="M55" s="52"/>
      <c r="N55" s="245"/>
      <c r="O55" s="245"/>
      <c r="P55" s="52"/>
      <c r="Q55" s="52"/>
      <c r="R55" s="52"/>
      <c r="S55" s="52"/>
      <c r="T55" s="52"/>
      <c r="U55" s="52"/>
      <c r="V55" s="52"/>
      <c r="W55" s="52"/>
      <c r="X55" s="52"/>
    </row>
    <row r="56" spans="2:24" ht="1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245"/>
      <c r="O56" s="245"/>
      <c r="P56" s="52"/>
      <c r="Q56" s="52"/>
      <c r="R56" s="52"/>
      <c r="S56" s="52"/>
      <c r="T56" s="52"/>
      <c r="U56" s="52"/>
      <c r="V56" s="52"/>
      <c r="W56" s="52"/>
      <c r="X56" s="52"/>
    </row>
    <row r="57" spans="2:24" ht="15" customHeight="1">
      <c r="B57" s="172" t="s">
        <v>86</v>
      </c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245"/>
      <c r="O57" s="245"/>
      <c r="P57" s="52"/>
      <c r="Q57" s="52"/>
      <c r="R57" s="52"/>
      <c r="S57" s="52"/>
      <c r="T57" s="52"/>
      <c r="U57" s="52"/>
      <c r="V57" s="52"/>
      <c r="W57" s="52"/>
      <c r="X57" s="52"/>
    </row>
    <row r="58" spans="2:24" ht="15" customHeight="1">
      <c r="B58" s="75" t="s">
        <v>304</v>
      </c>
      <c r="C58" s="52"/>
      <c r="D58" s="52"/>
      <c r="E58" s="52"/>
      <c r="F58" s="52"/>
      <c r="G58" s="52"/>
      <c r="H58" s="52"/>
      <c r="I58" s="52"/>
      <c r="J58" s="173" t="s">
        <v>305</v>
      </c>
      <c r="K58" s="175">
        <v>368466</v>
      </c>
      <c r="L58" s="175">
        <v>368466</v>
      </c>
      <c r="M58" s="52"/>
      <c r="N58" s="245"/>
      <c r="O58" s="245"/>
      <c r="P58" s="52"/>
      <c r="Q58" s="52"/>
      <c r="R58" s="52"/>
      <c r="S58" s="52"/>
      <c r="T58" s="52"/>
      <c r="U58" s="52"/>
      <c r="V58" s="52"/>
      <c r="W58" s="52"/>
      <c r="X58" s="52"/>
    </row>
    <row r="59" spans="2:24" ht="15" customHeight="1">
      <c r="B59" s="75" t="s">
        <v>306</v>
      </c>
      <c r="C59" s="52"/>
      <c r="D59" s="52"/>
      <c r="E59" s="52"/>
      <c r="F59" s="52"/>
      <c r="G59" s="52"/>
      <c r="H59" s="52"/>
      <c r="I59" s="52"/>
      <c r="J59" s="173" t="s">
        <v>307</v>
      </c>
      <c r="K59" s="176">
        <v>0.03</v>
      </c>
      <c r="L59" s="176">
        <v>0.03</v>
      </c>
      <c r="M59" s="52"/>
      <c r="N59" s="245"/>
      <c r="O59" s="245"/>
      <c r="P59" s="52"/>
      <c r="Q59" s="52"/>
      <c r="R59" s="52"/>
      <c r="S59" s="52"/>
      <c r="T59" s="52"/>
      <c r="U59" s="52"/>
      <c r="V59" s="52"/>
      <c r="W59" s="52"/>
      <c r="X59" s="52"/>
    </row>
    <row r="60" spans="2:24" ht="15" customHeight="1">
      <c r="B60" s="75" t="s">
        <v>308</v>
      </c>
      <c r="C60" s="52"/>
      <c r="D60" s="52"/>
      <c r="E60" s="52"/>
      <c r="F60" s="52"/>
      <c r="G60" s="52"/>
      <c r="H60" s="52"/>
      <c r="I60" s="52"/>
      <c r="J60" s="173" t="s">
        <v>309</v>
      </c>
      <c r="K60" s="52">
        <v>0</v>
      </c>
      <c r="L60" s="52">
        <v>0</v>
      </c>
      <c r="M60" s="52"/>
      <c r="N60" s="245"/>
      <c r="O60" s="245"/>
      <c r="P60" s="52"/>
      <c r="Q60" s="52"/>
      <c r="R60" s="52"/>
      <c r="S60" s="52"/>
      <c r="T60" s="52"/>
      <c r="U60" s="52"/>
      <c r="V60" s="52"/>
      <c r="W60" s="52"/>
      <c r="X60" s="52"/>
    </row>
    <row r="61" spans="2:24" ht="15" customHeight="1">
      <c r="B61" s="75" t="s">
        <v>310</v>
      </c>
      <c r="C61" s="52"/>
      <c r="D61" s="52"/>
      <c r="E61" s="52"/>
      <c r="F61" s="52"/>
      <c r="G61" s="52"/>
      <c r="H61" s="52"/>
      <c r="I61" s="52"/>
      <c r="J61" s="173" t="s">
        <v>311</v>
      </c>
      <c r="K61" s="175">
        <v>4000</v>
      </c>
      <c r="L61" s="175">
        <v>4000</v>
      </c>
      <c r="M61" s="52"/>
      <c r="N61" s="245"/>
      <c r="O61" s="245"/>
      <c r="P61" s="52"/>
      <c r="Q61" s="52"/>
      <c r="R61" s="52"/>
      <c r="S61" s="52"/>
      <c r="T61" s="52"/>
      <c r="U61" s="52"/>
      <c r="V61" s="52"/>
      <c r="W61" s="52"/>
      <c r="X61" s="52"/>
    </row>
    <row r="62" spans="2:24" ht="15" customHeight="1">
      <c r="B62" s="75" t="s">
        <v>312</v>
      </c>
      <c r="C62" s="52"/>
      <c r="D62" s="52"/>
      <c r="E62" s="52"/>
      <c r="F62" s="52"/>
      <c r="G62" s="52"/>
      <c r="H62" s="52"/>
      <c r="I62" s="52"/>
      <c r="J62" s="173" t="s">
        <v>313</v>
      </c>
      <c r="K62" s="52" t="s">
        <v>297</v>
      </c>
      <c r="L62" s="52" t="s">
        <v>297</v>
      </c>
      <c r="M62" s="52"/>
      <c r="N62" s="245"/>
      <c r="O62" s="245"/>
      <c r="P62" s="52"/>
      <c r="Q62" s="52"/>
      <c r="R62" s="52"/>
      <c r="S62" s="52"/>
      <c r="T62" s="52"/>
      <c r="U62" s="52"/>
      <c r="V62" s="52"/>
      <c r="W62" s="52"/>
      <c r="X62" s="52"/>
    </row>
    <row r="63" spans="2:24" ht="15" customHeight="1">
      <c r="B63" s="75" t="s">
        <v>314</v>
      </c>
      <c r="C63" s="52"/>
      <c r="D63" s="52"/>
      <c r="E63" s="52"/>
      <c r="F63" s="52"/>
      <c r="G63" s="52"/>
      <c r="H63" s="52"/>
      <c r="I63" s="52"/>
      <c r="J63" s="173" t="s">
        <v>315</v>
      </c>
      <c r="K63" s="175">
        <v>492118</v>
      </c>
      <c r="L63" s="175">
        <v>492118</v>
      </c>
      <c r="M63" s="52"/>
      <c r="N63" s="245"/>
      <c r="O63" s="245"/>
      <c r="P63" s="52"/>
      <c r="Q63" s="52"/>
      <c r="R63" s="52"/>
      <c r="S63" s="52"/>
      <c r="T63" s="52"/>
      <c r="U63" s="52"/>
      <c r="V63" s="52"/>
      <c r="W63" s="52"/>
      <c r="X63" s="52"/>
    </row>
    <row r="64" spans="2:24" ht="15" customHeight="1">
      <c r="B64" s="75" t="s">
        <v>316</v>
      </c>
      <c r="C64" s="52"/>
      <c r="D64" s="52"/>
      <c r="E64" s="52"/>
      <c r="F64" s="52"/>
      <c r="G64" s="52"/>
      <c r="H64" s="52"/>
      <c r="I64" s="52"/>
      <c r="J64" s="173" t="s">
        <v>317</v>
      </c>
      <c r="K64" s="175">
        <v>40000</v>
      </c>
      <c r="L64" s="175">
        <v>40000</v>
      </c>
      <c r="M64" s="52"/>
      <c r="N64" s="245"/>
      <c r="O64" s="245"/>
      <c r="P64" s="52"/>
      <c r="Q64" s="52"/>
      <c r="R64" s="52"/>
      <c r="S64" s="52"/>
      <c r="T64" s="52"/>
      <c r="U64" s="52"/>
      <c r="V64" s="52"/>
      <c r="W64" s="52"/>
      <c r="X64" s="52"/>
    </row>
    <row r="65" spans="2:24" ht="1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245"/>
      <c r="O65" s="245"/>
      <c r="P65" s="52"/>
      <c r="Q65" s="52"/>
      <c r="R65" s="52"/>
      <c r="S65" s="52"/>
      <c r="T65" s="52"/>
      <c r="U65" s="52"/>
      <c r="V65" s="52"/>
      <c r="W65" s="52"/>
      <c r="X65" s="52"/>
    </row>
    <row r="66" spans="2:24" ht="15" customHeight="1">
      <c r="B66" s="172" t="s">
        <v>102</v>
      </c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245"/>
      <c r="O66" s="245"/>
      <c r="P66" s="52"/>
      <c r="Q66" s="52"/>
      <c r="R66" s="52"/>
      <c r="S66" s="52"/>
      <c r="T66" s="52"/>
      <c r="U66" s="52"/>
      <c r="V66" s="52"/>
      <c r="W66" s="52"/>
      <c r="X66" s="52"/>
    </row>
    <row r="67" spans="2:24" ht="15" customHeight="1">
      <c r="B67" s="75" t="s">
        <v>318</v>
      </c>
      <c r="C67" s="52"/>
      <c r="D67" s="52"/>
      <c r="E67" s="52"/>
      <c r="F67" s="52"/>
      <c r="G67" s="52"/>
      <c r="H67" s="52"/>
      <c r="I67" s="52"/>
      <c r="J67" s="173" t="s">
        <v>319</v>
      </c>
      <c r="K67" s="52" t="s">
        <v>297</v>
      </c>
      <c r="L67" s="52" t="s">
        <v>297</v>
      </c>
      <c r="M67" s="52"/>
      <c r="N67" s="245"/>
      <c r="O67" s="245"/>
      <c r="P67" s="52"/>
      <c r="Q67" s="52"/>
      <c r="R67" s="52"/>
      <c r="S67" s="52"/>
      <c r="T67" s="52"/>
      <c r="U67" s="52"/>
      <c r="V67" s="52"/>
      <c r="W67" s="52"/>
      <c r="X67" s="52"/>
    </row>
    <row r="68" spans="2:24" ht="15" customHeight="1">
      <c r="B68" s="75" t="s">
        <v>320</v>
      </c>
      <c r="C68" s="52"/>
      <c r="D68" s="52"/>
      <c r="E68" s="52"/>
      <c r="F68" s="52"/>
      <c r="G68" s="52"/>
      <c r="H68" s="52"/>
      <c r="I68" s="52"/>
      <c r="J68" s="173" t="s">
        <v>321</v>
      </c>
      <c r="K68" s="175">
        <v>15000</v>
      </c>
      <c r="L68" s="175">
        <v>15000</v>
      </c>
      <c r="M68" s="52"/>
      <c r="N68" s="245"/>
      <c r="O68" s="245"/>
      <c r="P68" s="52"/>
      <c r="Q68" s="52"/>
      <c r="R68" s="52"/>
      <c r="S68" s="52"/>
      <c r="T68" s="52"/>
      <c r="U68" s="52"/>
      <c r="V68" s="52"/>
      <c r="W68" s="52"/>
      <c r="X68" s="52"/>
    </row>
    <row r="69" spans="2:24" ht="15" customHeight="1">
      <c r="B69" s="75" t="s">
        <v>322</v>
      </c>
      <c r="C69" s="52"/>
      <c r="D69" s="52"/>
      <c r="E69" s="52"/>
      <c r="F69" s="52"/>
      <c r="G69" s="52"/>
      <c r="H69" s="52"/>
      <c r="I69" s="52"/>
      <c r="J69" s="173" t="s">
        <v>323</v>
      </c>
      <c r="K69" s="175">
        <v>15000</v>
      </c>
      <c r="L69" s="175">
        <v>15000</v>
      </c>
      <c r="M69" s="52"/>
      <c r="N69" s="245"/>
      <c r="O69" s="245"/>
      <c r="P69" s="52"/>
      <c r="Q69" s="52"/>
      <c r="R69" s="52"/>
      <c r="S69" s="52"/>
      <c r="T69" s="52"/>
      <c r="U69" s="52"/>
      <c r="V69" s="52"/>
      <c r="W69" s="52"/>
      <c r="X69" s="52"/>
    </row>
    <row r="70" spans="2:24" ht="15" customHeight="1">
      <c r="B70" s="75" t="s">
        <v>324</v>
      </c>
      <c r="C70" s="52"/>
      <c r="D70" s="52"/>
      <c r="E70" s="52"/>
      <c r="F70" s="52"/>
      <c r="G70" s="52"/>
      <c r="H70" s="52"/>
      <c r="I70" s="52"/>
      <c r="J70" s="173" t="s">
        <v>325</v>
      </c>
      <c r="K70" s="52">
        <v>0</v>
      </c>
      <c r="L70" s="52">
        <v>0</v>
      </c>
      <c r="M70" s="52"/>
      <c r="N70" s="245"/>
      <c r="O70" s="245"/>
      <c r="P70" s="52"/>
      <c r="Q70" s="52"/>
      <c r="R70" s="52"/>
      <c r="S70" s="52"/>
      <c r="T70" s="52"/>
      <c r="U70" s="52"/>
      <c r="V70" s="52"/>
      <c r="W70" s="52"/>
      <c r="X70" s="52"/>
    </row>
    <row r="71" spans="2:24" ht="1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245"/>
      <c r="O71" s="245"/>
      <c r="P71" s="52"/>
      <c r="Q71" s="52"/>
      <c r="R71" s="52"/>
      <c r="S71" s="52"/>
      <c r="T71" s="52"/>
      <c r="U71" s="52"/>
      <c r="V71" s="52"/>
      <c r="W71" s="52"/>
      <c r="X71" s="52"/>
    </row>
    <row r="72" spans="2:24" ht="15" customHeight="1">
      <c r="B72" s="172" t="s">
        <v>326</v>
      </c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245"/>
      <c r="O72" s="245"/>
      <c r="P72" s="52"/>
      <c r="Q72" s="52"/>
      <c r="R72" s="52"/>
      <c r="S72" s="52"/>
      <c r="T72" s="52"/>
      <c r="U72" s="52"/>
      <c r="V72" s="52"/>
      <c r="W72" s="52"/>
      <c r="X72" s="52"/>
    </row>
    <row r="73" spans="2:24" ht="15" customHeight="1">
      <c r="B73" s="75" t="s">
        <v>327</v>
      </c>
      <c r="C73" s="52"/>
      <c r="D73" s="52"/>
      <c r="E73" s="52"/>
      <c r="F73" s="52"/>
      <c r="G73" s="52"/>
      <c r="H73" s="52"/>
      <c r="I73" s="52"/>
      <c r="J73" s="173" t="s">
        <v>328</v>
      </c>
      <c r="K73" s="52" t="s">
        <v>297</v>
      </c>
      <c r="L73" s="52" t="s">
        <v>297</v>
      </c>
      <c r="M73" s="52"/>
      <c r="N73" s="245"/>
      <c r="O73" s="245"/>
      <c r="P73" s="52"/>
      <c r="Q73" s="52"/>
      <c r="R73" s="52"/>
      <c r="S73" s="52"/>
      <c r="T73" s="52"/>
      <c r="U73" s="52"/>
      <c r="V73" s="52"/>
      <c r="W73" s="52"/>
      <c r="X73" s="52"/>
    </row>
    <row r="74" spans="2:24" ht="15" customHeight="1">
      <c r="B74" s="75" t="s">
        <v>329</v>
      </c>
      <c r="C74" s="52"/>
      <c r="D74" s="52"/>
      <c r="E74" s="52"/>
      <c r="F74" s="52"/>
      <c r="G74" s="52"/>
      <c r="H74" s="52"/>
      <c r="I74" s="52"/>
      <c r="J74" s="173" t="s">
        <v>330</v>
      </c>
      <c r="K74" s="52" t="s">
        <v>297</v>
      </c>
      <c r="L74" s="52" t="s">
        <v>297</v>
      </c>
      <c r="M74" s="52"/>
      <c r="N74" s="245"/>
      <c r="O74" s="245"/>
      <c r="P74" s="52"/>
      <c r="Q74" s="52"/>
      <c r="R74" s="52"/>
      <c r="S74" s="52"/>
      <c r="T74" s="52"/>
      <c r="U74" s="52"/>
      <c r="V74" s="52"/>
      <c r="W74" s="52"/>
      <c r="X74" s="52"/>
    </row>
    <row r="75" spans="2:24" ht="15" customHeight="1">
      <c r="B75" s="75" t="s">
        <v>331</v>
      </c>
      <c r="C75" s="52"/>
      <c r="D75" s="52"/>
      <c r="E75" s="52"/>
      <c r="F75" s="52"/>
      <c r="G75" s="52"/>
      <c r="H75" s="52"/>
      <c r="I75" s="52"/>
      <c r="J75" s="173" t="s">
        <v>332</v>
      </c>
      <c r="K75" s="52" t="s">
        <v>333</v>
      </c>
      <c r="L75" s="52" t="s">
        <v>333</v>
      </c>
      <c r="M75" s="52"/>
      <c r="N75" s="245"/>
      <c r="O75" s="245"/>
      <c r="P75" s="52"/>
      <c r="Q75" s="52"/>
      <c r="R75" s="52"/>
      <c r="S75" s="52"/>
      <c r="T75" s="52"/>
      <c r="U75" s="52"/>
      <c r="V75" s="52"/>
      <c r="W75" s="52"/>
      <c r="X75" s="52"/>
    </row>
    <row r="76" spans="2:24" ht="15" customHeight="1">
      <c r="B76" s="75" t="s">
        <v>334</v>
      </c>
      <c r="C76" s="52"/>
      <c r="D76" s="52"/>
      <c r="E76" s="52"/>
      <c r="F76" s="52"/>
      <c r="G76" s="52"/>
      <c r="H76" s="52"/>
      <c r="I76" s="52"/>
      <c r="J76" s="173" t="s">
        <v>335</v>
      </c>
      <c r="K76" s="175">
        <v>0</v>
      </c>
      <c r="L76" s="175">
        <v>0</v>
      </c>
      <c r="M76" s="52"/>
      <c r="N76" s="245"/>
      <c r="O76" s="245"/>
      <c r="P76" s="52"/>
      <c r="Q76" s="52"/>
      <c r="R76" s="52"/>
      <c r="S76" s="52"/>
      <c r="T76" s="52"/>
      <c r="U76" s="52"/>
      <c r="V76" s="52"/>
      <c r="W76" s="52"/>
      <c r="X76" s="52"/>
    </row>
    <row r="77" spans="2:24" ht="15" customHeight="1">
      <c r="B77" s="75" t="s">
        <v>336</v>
      </c>
      <c r="C77" s="52"/>
      <c r="D77" s="52"/>
      <c r="E77" s="52"/>
      <c r="F77" s="52"/>
      <c r="G77" s="52"/>
      <c r="H77" s="52"/>
      <c r="I77" s="52"/>
      <c r="J77" s="173" t="s">
        <v>337</v>
      </c>
      <c r="K77" s="52" t="s">
        <v>297</v>
      </c>
      <c r="L77" s="52" t="s">
        <v>297</v>
      </c>
      <c r="M77" s="52"/>
      <c r="N77" s="245"/>
      <c r="O77" s="245"/>
      <c r="P77" s="52"/>
      <c r="Q77" s="52"/>
      <c r="R77" s="52"/>
      <c r="S77" s="52"/>
      <c r="T77" s="52"/>
      <c r="U77" s="52"/>
      <c r="V77" s="52"/>
      <c r="W77" s="52"/>
      <c r="X77" s="52"/>
    </row>
    <row r="78" spans="2:24" ht="1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245"/>
      <c r="O78" s="245"/>
      <c r="P78" s="52"/>
      <c r="Q78" s="52"/>
      <c r="R78" s="52"/>
      <c r="S78" s="52"/>
      <c r="T78" s="52"/>
      <c r="U78" s="52"/>
      <c r="V78" s="52"/>
      <c r="W78" s="52"/>
      <c r="X78" s="52"/>
    </row>
    <row r="79" spans="2:24" ht="15" customHeight="1">
      <c r="B79" s="172" t="s">
        <v>338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245"/>
      <c r="O79" s="245"/>
      <c r="P79" s="52"/>
      <c r="Q79" s="52"/>
      <c r="R79" s="52"/>
      <c r="S79" s="52"/>
      <c r="T79" s="52"/>
      <c r="U79" s="52"/>
      <c r="V79" s="52"/>
      <c r="W79" s="52"/>
      <c r="X79" s="52"/>
    </row>
    <row r="80" spans="2:24" ht="15" customHeight="1">
      <c r="B80" s="75" t="s">
        <v>339</v>
      </c>
      <c r="C80" s="52"/>
      <c r="D80" s="52"/>
      <c r="E80" s="52"/>
      <c r="F80" s="52"/>
      <c r="G80" s="52"/>
      <c r="H80" s="52"/>
      <c r="I80" s="52"/>
      <c r="J80" s="173" t="s">
        <v>340</v>
      </c>
      <c r="K80" s="52" t="s">
        <v>341</v>
      </c>
      <c r="L80" s="52" t="s">
        <v>341</v>
      </c>
      <c r="M80" s="52"/>
      <c r="N80" s="245"/>
      <c r="O80" s="245"/>
      <c r="P80" s="52"/>
      <c r="Q80" s="52"/>
      <c r="R80" s="52"/>
      <c r="S80" s="52"/>
      <c r="T80" s="52"/>
      <c r="U80" s="52"/>
      <c r="V80" s="52"/>
      <c r="W80" s="52"/>
      <c r="X80" s="52"/>
    </row>
    <row r="81" spans="2:24" ht="1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245"/>
      <c r="O81" s="245"/>
      <c r="P81" s="52"/>
      <c r="Q81" s="52"/>
      <c r="R81" s="52"/>
      <c r="S81" s="52"/>
      <c r="T81" s="52"/>
      <c r="U81" s="52"/>
      <c r="V81" s="52"/>
      <c r="W81" s="52"/>
      <c r="X81" s="52"/>
    </row>
    <row r="82" spans="2:24" ht="1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245"/>
      <c r="O82" s="245"/>
      <c r="P82" s="52"/>
      <c r="Q82" s="52"/>
      <c r="R82" s="52"/>
      <c r="S82" s="52"/>
      <c r="T82" s="52"/>
      <c r="U82" s="52"/>
      <c r="V82" s="52"/>
      <c r="W82" s="52"/>
      <c r="X82" s="52"/>
    </row>
    <row r="83" spans="2:24" ht="15" customHeight="1">
      <c r="B83" s="177" t="s">
        <v>342</v>
      </c>
      <c r="C83" s="178"/>
      <c r="D83" s="178"/>
      <c r="E83" s="178"/>
      <c r="F83" s="52"/>
      <c r="G83" s="52"/>
      <c r="H83" s="52"/>
      <c r="I83" s="52"/>
      <c r="J83" s="52"/>
      <c r="K83" s="52"/>
      <c r="L83" s="52"/>
      <c r="M83" s="52"/>
      <c r="N83" s="245"/>
      <c r="O83" s="245"/>
      <c r="P83" s="52"/>
      <c r="Q83" s="52"/>
      <c r="R83" s="52"/>
      <c r="S83" s="52"/>
      <c r="T83" s="52"/>
      <c r="U83" s="52"/>
      <c r="V83" s="52"/>
      <c r="W83" s="52"/>
      <c r="X83" s="52"/>
    </row>
    <row r="84" spans="2:24" ht="15" customHeight="1">
      <c r="B84" s="143" t="s">
        <v>343</v>
      </c>
      <c r="C84" s="179" t="s">
        <v>344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245"/>
      <c r="O84" s="245"/>
      <c r="P84" s="52"/>
      <c r="Q84" s="52"/>
      <c r="R84" s="52"/>
      <c r="S84" s="52"/>
      <c r="T84" s="52"/>
      <c r="U84" s="52"/>
      <c r="V84" s="52"/>
      <c r="W84" s="52"/>
      <c r="X84" s="52"/>
    </row>
    <row r="85" spans="2:24" ht="1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245"/>
      <c r="O85" s="245"/>
      <c r="P85" s="52"/>
      <c r="Q85" s="52"/>
      <c r="R85" s="52"/>
      <c r="S85" s="52"/>
      <c r="T85" s="52"/>
      <c r="U85" s="52"/>
      <c r="V85" s="52"/>
      <c r="W85" s="52"/>
      <c r="X85" s="52"/>
    </row>
    <row r="86" spans="2:24" ht="15" customHeight="1">
      <c r="B86" s="143" t="s">
        <v>345</v>
      </c>
      <c r="C86" s="179" t="s">
        <v>346</v>
      </c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245"/>
      <c r="O86" s="245"/>
      <c r="P86" s="52"/>
      <c r="Q86" s="52"/>
      <c r="R86" s="52"/>
      <c r="S86" s="52"/>
      <c r="T86" s="52"/>
      <c r="U86" s="52"/>
      <c r="V86" s="52"/>
      <c r="W86" s="52"/>
      <c r="X86" s="52"/>
    </row>
    <row r="87" spans="2:24" ht="15" customHeight="1">
      <c r="B87" s="143" t="s">
        <v>347</v>
      </c>
      <c r="C87" s="179" t="s">
        <v>348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 spans="2:24" ht="15" customHeight="1">
      <c r="B88" s="143" t="s">
        <v>349</v>
      </c>
      <c r="C88" s="179" t="s">
        <v>350</v>
      </c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 spans="2:24" ht="15" customHeight="1">
      <c r="B89" s="143" t="s">
        <v>351</v>
      </c>
      <c r="C89" s="179" t="s">
        <v>352</v>
      </c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 spans="2:24" ht="15" customHeight="1">
      <c r="B90" s="143" t="s">
        <v>353</v>
      </c>
      <c r="C90" s="179" t="s">
        <v>354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 spans="2:24" ht="15" customHeight="1">
      <c r="B91" s="143" t="s">
        <v>355</v>
      </c>
      <c r="C91" s="179" t="s">
        <v>356</v>
      </c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 spans="2:24" ht="15" customHeight="1">
      <c r="B92" s="143" t="s">
        <v>357</v>
      </c>
      <c r="C92" s="179" t="s">
        <v>358</v>
      </c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 spans="2:24" ht="15" customHeight="1">
      <c r="B93" s="143" t="s">
        <v>359</v>
      </c>
      <c r="C93" s="179" t="s">
        <v>360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 spans="2:24" ht="15" customHeight="1">
      <c r="B94" s="143" t="s">
        <v>361</v>
      </c>
      <c r="C94" s="179" t="s">
        <v>362</v>
      </c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spans="2:24" ht="15" customHeight="1">
      <c r="B95" s="143" t="s">
        <v>363</v>
      </c>
      <c r="C95" s="179" t="s">
        <v>364</v>
      </c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 spans="2:24" ht="15" customHeight="1">
      <c r="B96" s="143" t="s">
        <v>365</v>
      </c>
      <c r="C96" s="179" t="s">
        <v>366</v>
      </c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 spans="2:24" ht="1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 spans="2:24" ht="15" customHeight="1">
      <c r="B98" s="143" t="s">
        <v>367</v>
      </c>
      <c r="C98" s="179" t="s">
        <v>368</v>
      </c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 spans="2:24" ht="15" customHeight="1">
      <c r="B99" s="143" t="s">
        <v>369</v>
      </c>
      <c r="C99" s="179" t="s">
        <v>370</v>
      </c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 spans="2:24" ht="15" customHeight="1">
      <c r="B100" s="143" t="s">
        <v>371</v>
      </c>
      <c r="C100" s="179" t="s">
        <v>372</v>
      </c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 spans="2:24" ht="1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  <row r="102" spans="2:24" ht="15" customHeight="1">
      <c r="B102" s="143" t="s">
        <v>373</v>
      </c>
      <c r="C102" s="179" t="s">
        <v>374</v>
      </c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</row>
    <row r="103" spans="2:24" ht="15" customHeight="1">
      <c r="B103" s="143" t="s">
        <v>375</v>
      </c>
      <c r="C103" s="179" t="s">
        <v>376</v>
      </c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</row>
    <row r="104" spans="2:24" ht="15" customHeight="1">
      <c r="B104" s="143" t="s">
        <v>377</v>
      </c>
      <c r="C104" s="179" t="s">
        <v>378</v>
      </c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</row>
    <row r="105" spans="2:24" ht="15" customHeight="1">
      <c r="B105" s="143" t="s">
        <v>379</v>
      </c>
      <c r="C105" s="179" t="s">
        <v>380</v>
      </c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</row>
    <row r="106" spans="2:24" ht="15" customHeight="1">
      <c r="B106" s="143" t="s">
        <v>381</v>
      </c>
      <c r="C106" s="179" t="s">
        <v>382</v>
      </c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</row>
    <row r="107" spans="2:24" ht="1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</row>
    <row r="108" spans="2:24" ht="15" customHeight="1">
      <c r="B108" s="143" t="s">
        <v>383</v>
      </c>
      <c r="C108" s="179" t="s">
        <v>384</v>
      </c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 spans="2:24" ht="1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</row>
    <row r="110" spans="2:24" ht="1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</row>
    <row r="111" spans="2:24" ht="1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</row>
    <row r="112" spans="2:24" ht="1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</row>
    <row r="113" spans="2:24" ht="1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</row>
    <row r="114" spans="2:24" ht="1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</row>
    <row r="115" spans="2:24" ht="1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</row>
    <row r="116" spans="2:24" ht="1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</row>
    <row r="117" spans="2:24" ht="1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</row>
    <row r="118" spans="2:24" ht="1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</row>
    <row r="119" spans="2:24" ht="1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</row>
    <row r="120" spans="2:24" ht="1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</row>
    <row r="121" spans="2:24" ht="1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</row>
    <row r="122" spans="2:24" ht="1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</row>
    <row r="123" spans="2:24" ht="1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</row>
    <row r="124" spans="2:24" ht="1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</row>
    <row r="125" spans="2:24" ht="1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</row>
  </sheetData>
  <mergeCells count="1">
    <mergeCell ref="J5:L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175"/>
  <sheetViews>
    <sheetView showGridLines="0" topLeftCell="A4" zoomScale="125" zoomScaleNormal="125" workbookViewId="0">
      <selection activeCell="E24" sqref="E24"/>
    </sheetView>
  </sheetViews>
  <sheetFormatPr baseColWidth="10" defaultColWidth="8.6640625" defaultRowHeight="15"/>
  <cols>
    <col min="2" max="2" width="46" customWidth="1"/>
    <col min="3" max="5" width="18" customWidth="1"/>
    <col min="6" max="6" width="4" customWidth="1"/>
    <col min="9" max="9" width="12.83203125" customWidth="1"/>
  </cols>
  <sheetData>
    <row r="1" spans="2:9" ht="15.75" customHeight="1">
      <c r="B1" s="180" t="s">
        <v>385</v>
      </c>
    </row>
    <row r="2" spans="2:9" ht="15" customHeight="1">
      <c r="B2" s="181" t="s">
        <v>386</v>
      </c>
      <c r="I2" s="182"/>
    </row>
    <row r="3" spans="2:9" ht="15" customHeight="1">
      <c r="B3" s="181" t="s">
        <v>387</v>
      </c>
    </row>
    <row r="4" spans="2:9" ht="15" customHeight="1">
      <c r="I4" s="183"/>
    </row>
    <row r="5" spans="2:9" ht="15" customHeight="1">
      <c r="B5" s="184" t="s">
        <v>388</v>
      </c>
      <c r="C5" s="185"/>
      <c r="D5" s="185"/>
      <c r="E5" s="185"/>
      <c r="F5" s="185"/>
    </row>
    <row r="6" spans="2:9" ht="15" customHeight="1">
      <c r="B6" s="186"/>
      <c r="C6" s="187" t="s">
        <v>389</v>
      </c>
      <c r="D6" s="187" t="s">
        <v>390</v>
      </c>
      <c r="E6" s="187" t="s">
        <v>391</v>
      </c>
      <c r="F6" s="186"/>
    </row>
    <row r="7" spans="2:9" ht="15" customHeight="1">
      <c r="B7" s="188" t="s">
        <v>38</v>
      </c>
      <c r="C7" s="189">
        <v>845365</v>
      </c>
      <c r="D7" s="189">
        <v>813772</v>
      </c>
      <c r="E7" s="189">
        <v>1659137</v>
      </c>
    </row>
    <row r="8" spans="2:9" ht="15" customHeight="1"/>
    <row r="9" spans="2:9" ht="15" customHeight="1">
      <c r="B9" s="190" t="s">
        <v>392</v>
      </c>
      <c r="C9" s="191">
        <v>476684</v>
      </c>
      <c r="D9" s="191">
        <v>551475</v>
      </c>
      <c r="E9" s="191">
        <v>1028159</v>
      </c>
    </row>
    <row r="10" spans="2:9" ht="15" customHeight="1">
      <c r="B10" s="190" t="s">
        <v>393</v>
      </c>
      <c r="C10" s="191">
        <v>67097</v>
      </c>
      <c r="D10" s="191">
        <v>72161</v>
      </c>
      <c r="E10" s="191">
        <v>139257</v>
      </c>
    </row>
    <row r="11" spans="2:9" ht="15" customHeight="1">
      <c r="B11" s="192" t="s">
        <v>394</v>
      </c>
      <c r="C11" s="193">
        <v>543781</v>
      </c>
      <c r="D11" s="193">
        <v>623636</v>
      </c>
      <c r="E11" s="193">
        <v>1167416</v>
      </c>
      <c r="F11" s="194"/>
    </row>
    <row r="12" spans="2:9" ht="15" customHeight="1">
      <c r="B12" s="192" t="s">
        <v>395</v>
      </c>
      <c r="C12" s="193">
        <v>301584</v>
      </c>
      <c r="D12" s="193">
        <v>190136</v>
      </c>
      <c r="E12" s="193">
        <v>491721</v>
      </c>
      <c r="F12" s="194"/>
    </row>
    <row r="13" spans="2:9" ht="15" customHeight="1"/>
    <row r="14" spans="2:9" ht="15" customHeight="1">
      <c r="B14" s="190" t="s">
        <v>396</v>
      </c>
      <c r="C14" s="191">
        <v>122456</v>
      </c>
      <c r="D14" s="191">
        <v>77000</v>
      </c>
      <c r="E14" s="191">
        <v>199455</v>
      </c>
    </row>
    <row r="15" spans="2:9" ht="15" customHeight="1">
      <c r="B15" s="190" t="s">
        <v>397</v>
      </c>
      <c r="C15" s="191">
        <v>7761</v>
      </c>
      <c r="D15" s="191">
        <v>8130</v>
      </c>
      <c r="E15" s="191">
        <v>15891</v>
      </c>
    </row>
    <row r="16" spans="2:9" ht="15" customHeight="1">
      <c r="B16" s="190" t="s">
        <v>398</v>
      </c>
      <c r="C16" s="191">
        <v>13903</v>
      </c>
      <c r="D16" s="191">
        <v>9707</v>
      </c>
      <c r="E16" s="191">
        <v>23610</v>
      </c>
    </row>
    <row r="17" spans="2:6" ht="15" customHeight="1">
      <c r="B17" s="190" t="s">
        <v>399</v>
      </c>
      <c r="C17" s="191">
        <v>-6684</v>
      </c>
      <c r="D17" s="191">
        <v>10480</v>
      </c>
      <c r="E17" s="191">
        <v>3796</v>
      </c>
    </row>
    <row r="18" spans="2:6" ht="15" customHeight="1">
      <c r="B18" s="190" t="s">
        <v>400</v>
      </c>
      <c r="C18" s="191">
        <v>313</v>
      </c>
      <c r="D18" s="191">
        <v>680</v>
      </c>
      <c r="E18" s="191">
        <v>993</v>
      </c>
    </row>
    <row r="19" spans="2:6" ht="15" customHeight="1">
      <c r="B19" s="192" t="s">
        <v>401</v>
      </c>
      <c r="C19" s="193">
        <v>163835</v>
      </c>
      <c r="D19" s="193">
        <v>84139</v>
      </c>
      <c r="E19" s="193">
        <v>247976</v>
      </c>
      <c r="F19" s="194"/>
    </row>
    <row r="20" spans="2:6" ht="15" customHeight="1"/>
    <row r="21" spans="2:6" ht="15" customHeight="1">
      <c r="B21" s="190" t="s">
        <v>402</v>
      </c>
      <c r="C21" s="191">
        <v>-27987</v>
      </c>
      <c r="D21" s="191">
        <v>-29514</v>
      </c>
      <c r="E21" s="191">
        <v>-57501</v>
      </c>
    </row>
    <row r="22" spans="2:6" ht="15" customHeight="1">
      <c r="B22" s="190" t="s">
        <v>403</v>
      </c>
      <c r="C22" s="191">
        <v>-47725</v>
      </c>
      <c r="D22" s="191">
        <v>-54316</v>
      </c>
      <c r="E22" s="191">
        <v>-102041</v>
      </c>
    </row>
    <row r="23" spans="2:6" ht="15" customHeight="1">
      <c r="B23" s="190" t="s">
        <v>404</v>
      </c>
      <c r="C23" s="191">
        <v>9993</v>
      </c>
      <c r="D23" s="191">
        <v>7857</v>
      </c>
      <c r="E23" s="191">
        <v>17849</v>
      </c>
    </row>
    <row r="24" spans="2:6" ht="15" customHeight="1">
      <c r="B24" s="190" t="s">
        <v>405</v>
      </c>
      <c r="C24" s="191">
        <v>54466</v>
      </c>
      <c r="D24" s="191">
        <v>20010</v>
      </c>
      <c r="E24" s="191">
        <v>74476</v>
      </c>
    </row>
    <row r="25" spans="2:6" ht="15" customHeight="1">
      <c r="B25" s="190" t="s">
        <v>406</v>
      </c>
      <c r="C25" s="191">
        <v>9961</v>
      </c>
      <c r="D25" s="191">
        <v>17349</v>
      </c>
      <c r="E25" s="191">
        <v>27310</v>
      </c>
    </row>
    <row r="26" spans="2:6" ht="15" customHeight="1">
      <c r="B26" s="190" t="s">
        <v>407</v>
      </c>
      <c r="C26" s="191">
        <v>359</v>
      </c>
      <c r="D26" s="191">
        <v>402</v>
      </c>
      <c r="E26" s="191">
        <v>760</v>
      </c>
    </row>
    <row r="27" spans="2:6" ht="15" customHeight="1">
      <c r="B27" s="192" t="s">
        <v>408</v>
      </c>
      <c r="C27" s="193">
        <v>162902</v>
      </c>
      <c r="D27" s="193">
        <v>45927</v>
      </c>
      <c r="E27" s="193">
        <v>208829</v>
      </c>
      <c r="F27" s="194"/>
    </row>
    <row r="28" spans="2:6" ht="15" customHeight="1"/>
    <row r="29" spans="2:6" ht="15" customHeight="1">
      <c r="B29" s="190" t="s">
        <v>409</v>
      </c>
      <c r="C29" s="191">
        <v>32152</v>
      </c>
      <c r="D29" s="191">
        <v>20716</v>
      </c>
      <c r="E29" s="191">
        <v>52868</v>
      </c>
    </row>
    <row r="30" spans="2:6" ht="15" customHeight="1">
      <c r="B30" s="192" t="s">
        <v>410</v>
      </c>
      <c r="C30" s="193">
        <v>130750</v>
      </c>
      <c r="D30" s="193">
        <v>25211</v>
      </c>
      <c r="E30" s="193">
        <v>155961</v>
      </c>
      <c r="F30" s="194"/>
    </row>
    <row r="31" spans="2:6" ht="15" customHeight="1"/>
    <row r="32" spans="2:6" ht="15" customHeight="1">
      <c r="B32" s="190" t="s">
        <v>411</v>
      </c>
      <c r="C32" s="191">
        <v>130751</v>
      </c>
      <c r="D32" s="191">
        <v>25219</v>
      </c>
      <c r="E32" s="191">
        <v>155970</v>
      </c>
    </row>
    <row r="33" spans="2:5" ht="15" customHeight="1">
      <c r="B33" s="190" t="s">
        <v>412</v>
      </c>
      <c r="C33" s="191">
        <v>-1</v>
      </c>
      <c r="D33" s="191">
        <v>-8</v>
      </c>
      <c r="E33" s="191">
        <v>-9</v>
      </c>
    </row>
    <row r="34" spans="2:5" ht="15" customHeight="1"/>
    <row r="35" spans="2:5" ht="15" customHeight="1">
      <c r="B35" s="195" t="s">
        <v>413</v>
      </c>
      <c r="C35" s="196">
        <v>0.3</v>
      </c>
      <c r="D35" s="196">
        <v>0.06</v>
      </c>
      <c r="E35" s="196">
        <v>0.36</v>
      </c>
    </row>
    <row r="36" spans="2:5" ht="15" customHeight="1">
      <c r="B36" s="195" t="s">
        <v>414</v>
      </c>
      <c r="C36" s="196">
        <v>0.3</v>
      </c>
      <c r="D36" s="196">
        <v>0.06</v>
      </c>
      <c r="E36" s="196">
        <v>0.36</v>
      </c>
    </row>
    <row r="37" spans="2:5" ht="15" customHeight="1"/>
    <row r="38" spans="2:5" ht="15" customHeight="1">
      <c r="B38" s="184" t="s">
        <v>415</v>
      </c>
      <c r="C38" s="185"/>
      <c r="D38" s="185"/>
      <c r="E38" s="185"/>
    </row>
    <row r="39" spans="2:5" ht="15" customHeight="1">
      <c r="B39" s="186"/>
      <c r="C39" s="187" t="s">
        <v>416</v>
      </c>
      <c r="D39" s="187" t="s">
        <v>417</v>
      </c>
      <c r="E39" s="186"/>
    </row>
    <row r="40" spans="2:5" ht="15" customHeight="1">
      <c r="B40" s="190" t="s">
        <v>418</v>
      </c>
      <c r="C40" s="191">
        <v>1075117</v>
      </c>
      <c r="D40" s="191">
        <v>1112718</v>
      </c>
    </row>
    <row r="41" spans="2:5" ht="15" customHeight="1">
      <c r="B41" s="190" t="s">
        <v>419</v>
      </c>
      <c r="C41" s="191">
        <v>34603</v>
      </c>
      <c r="D41" s="191">
        <v>0</v>
      </c>
    </row>
    <row r="42" spans="2:5" ht="15" customHeight="1">
      <c r="B42" s="190" t="s">
        <v>420</v>
      </c>
      <c r="C42" s="191">
        <v>180302</v>
      </c>
      <c r="D42" s="191">
        <v>337060</v>
      </c>
    </row>
    <row r="43" spans="2:5" ht="15" customHeight="1">
      <c r="B43" s="190" t="s">
        <v>421</v>
      </c>
      <c r="C43" s="191">
        <v>15060</v>
      </c>
      <c r="D43" s="191">
        <v>17133</v>
      </c>
    </row>
    <row r="44" spans="2:5" ht="15" customHeight="1">
      <c r="B44" s="190" t="s">
        <v>422</v>
      </c>
      <c r="C44" s="191">
        <v>721396</v>
      </c>
      <c r="D44" s="191">
        <v>767114</v>
      </c>
    </row>
    <row r="45" spans="2:5" ht="15" customHeight="1">
      <c r="B45" s="190" t="s">
        <v>423</v>
      </c>
      <c r="C45" s="191">
        <v>177948</v>
      </c>
      <c r="D45" s="191">
        <v>179719</v>
      </c>
    </row>
    <row r="46" spans="2:5" ht="15" customHeight="1">
      <c r="B46" s="190" t="s">
        <v>424</v>
      </c>
      <c r="C46" s="191">
        <v>33304</v>
      </c>
      <c r="D46" s="191">
        <v>30089</v>
      </c>
    </row>
    <row r="47" spans="2:5" ht="15" customHeight="1">
      <c r="B47" s="192" t="s">
        <v>425</v>
      </c>
      <c r="C47" s="193">
        <v>2237730</v>
      </c>
      <c r="D47" s="193">
        <v>2443833</v>
      </c>
      <c r="E47" s="194"/>
    </row>
    <row r="48" spans="2:5" ht="15" customHeight="1"/>
    <row r="49" spans="2:9" ht="15" customHeight="1">
      <c r="B49" s="190" t="s">
        <v>426</v>
      </c>
      <c r="C49" s="191">
        <v>3360763</v>
      </c>
      <c r="D49" s="191">
        <v>3424963</v>
      </c>
    </row>
    <row r="50" spans="2:9" ht="15" customHeight="1">
      <c r="B50" s="190" t="s">
        <v>427</v>
      </c>
      <c r="C50" s="191">
        <v>35204</v>
      </c>
      <c r="D50" s="191">
        <v>34177</v>
      </c>
    </row>
    <row r="51" spans="2:9" ht="15" customHeight="1">
      <c r="B51" s="190" t="s">
        <v>428</v>
      </c>
      <c r="C51" s="191">
        <v>817864</v>
      </c>
      <c r="D51" s="191">
        <v>868173</v>
      </c>
    </row>
    <row r="52" spans="2:9" ht="15" customHeight="1">
      <c r="B52" s="190" t="s">
        <v>405</v>
      </c>
      <c r="C52" s="191">
        <v>3018226</v>
      </c>
      <c r="D52" s="191">
        <v>2906851</v>
      </c>
    </row>
    <row r="53" spans="2:9" ht="15" customHeight="1">
      <c r="B53" s="190" t="s">
        <v>429</v>
      </c>
      <c r="C53" s="191">
        <v>635699</v>
      </c>
      <c r="D53" s="191">
        <v>617581</v>
      </c>
    </row>
    <row r="54" spans="2:9" ht="15" customHeight="1">
      <c r="B54" s="192" t="s">
        <v>430</v>
      </c>
      <c r="C54" s="193">
        <v>7867756</v>
      </c>
      <c r="D54" s="193">
        <v>7851745</v>
      </c>
      <c r="E54" s="194"/>
    </row>
    <row r="55" spans="2:9" ht="15" customHeight="1"/>
    <row r="56" spans="2:9" ht="15" customHeight="1">
      <c r="B56" s="192" t="s">
        <v>93</v>
      </c>
      <c r="C56" s="193">
        <v>10105486</v>
      </c>
      <c r="D56" s="193">
        <v>10295578</v>
      </c>
      <c r="E56" s="194"/>
    </row>
    <row r="57" spans="2:9" ht="15" customHeight="1"/>
    <row r="58" spans="2:9" ht="15" customHeight="1">
      <c r="B58" s="190" t="s">
        <v>431</v>
      </c>
      <c r="C58" s="191">
        <v>440442</v>
      </c>
      <c r="D58" s="191">
        <v>504227</v>
      </c>
    </row>
    <row r="59" spans="2:9" ht="15" customHeight="1">
      <c r="B59" s="190" t="s">
        <v>432</v>
      </c>
      <c r="C59" s="191">
        <v>23390</v>
      </c>
      <c r="D59" s="191">
        <v>20154</v>
      </c>
      <c r="I59" s="197"/>
    </row>
    <row r="60" spans="2:9" ht="15" customHeight="1">
      <c r="B60" s="190" t="s">
        <v>433</v>
      </c>
      <c r="C60" s="191">
        <v>0</v>
      </c>
      <c r="D60" s="191">
        <v>0</v>
      </c>
      <c r="I60" s="197"/>
    </row>
    <row r="61" spans="2:9" ht="15" customHeight="1">
      <c r="B61" s="190" t="s">
        <v>434</v>
      </c>
      <c r="C61" s="191">
        <v>205267</v>
      </c>
      <c r="D61" s="191">
        <v>213216</v>
      </c>
    </row>
    <row r="62" spans="2:9" ht="15" customHeight="1">
      <c r="B62" s="190" t="s">
        <v>435</v>
      </c>
      <c r="C62" s="191">
        <v>57935</v>
      </c>
      <c r="D62" s="191">
        <v>60872</v>
      </c>
    </row>
    <row r="63" spans="2:9" ht="15" customHeight="1">
      <c r="B63" s="192" t="s">
        <v>436</v>
      </c>
      <c r="C63" s="193">
        <v>727034</v>
      </c>
      <c r="D63" s="193">
        <v>798469</v>
      </c>
      <c r="E63" s="194"/>
    </row>
    <row r="65" spans="2:6" ht="15" customHeight="1">
      <c r="B65" s="190" t="s">
        <v>437</v>
      </c>
      <c r="C65" s="191">
        <v>996549</v>
      </c>
      <c r="D65" s="191">
        <v>996750</v>
      </c>
    </row>
    <row r="66" spans="2:6" ht="15" customHeight="1">
      <c r="B66" s="190" t="s">
        <v>438</v>
      </c>
      <c r="C66" s="191">
        <v>353841</v>
      </c>
      <c r="D66" s="191">
        <v>379038</v>
      </c>
    </row>
    <row r="67" spans="2:6" ht="15" customHeight="1">
      <c r="B67" s="190" t="s">
        <v>439</v>
      </c>
      <c r="C67" s="191">
        <v>963516</v>
      </c>
      <c r="D67" s="191">
        <v>987512</v>
      </c>
    </row>
    <row r="68" spans="2:6" ht="15" customHeight="1">
      <c r="B68" s="192" t="s">
        <v>440</v>
      </c>
      <c r="C68" s="193">
        <v>2313906</v>
      </c>
      <c r="D68" s="193">
        <v>2363300</v>
      </c>
      <c r="E68" s="194"/>
    </row>
    <row r="70" spans="2:6" ht="15" customHeight="1">
      <c r="B70" s="198" t="s">
        <v>441</v>
      </c>
      <c r="C70" s="191">
        <v>2939763</v>
      </c>
      <c r="D70" s="191">
        <v>2939763</v>
      </c>
    </row>
    <row r="71" spans="2:6" ht="15" customHeight="1">
      <c r="B71" s="190" t="s">
        <v>442</v>
      </c>
      <c r="C71" s="199" t="s">
        <v>389</v>
      </c>
      <c r="D71" s="199" t="s">
        <v>390</v>
      </c>
      <c r="E71" s="200" t="s">
        <v>391</v>
      </c>
    </row>
    <row r="72" spans="2:6" ht="15" customHeight="1">
      <c r="B72" s="201" t="s">
        <v>38</v>
      </c>
      <c r="C72" s="191">
        <v>3739525</v>
      </c>
      <c r="D72" s="191">
        <v>3764744</v>
      </c>
    </row>
    <row r="73" spans="2:6" ht="15" customHeight="1">
      <c r="B73" s="202" t="s">
        <v>443</v>
      </c>
      <c r="C73" s="191">
        <v>197309</v>
      </c>
      <c r="D73" s="191">
        <v>238387</v>
      </c>
      <c r="E73" s="203">
        <v>1373035</v>
      </c>
    </row>
    <row r="74" spans="2:6" ht="15" customHeight="1">
      <c r="B74" s="204" t="s">
        <v>444</v>
      </c>
      <c r="C74" s="193">
        <v>7064532</v>
      </c>
      <c r="D74" s="193">
        <v>7133771</v>
      </c>
      <c r="E74" s="205">
        <v>286000</v>
      </c>
    </row>
    <row r="75" spans="2:6" ht="15" customHeight="1">
      <c r="B75" s="202" t="s">
        <v>445</v>
      </c>
      <c r="C75" s="191">
        <v>14</v>
      </c>
      <c r="D75" s="191">
        <v>38</v>
      </c>
      <c r="E75" s="206">
        <f>E7-E73-E74</f>
        <v>102</v>
      </c>
    </row>
    <row r="76" spans="2:6" ht="15" customHeight="1">
      <c r="B76" s="192" t="s">
        <v>446</v>
      </c>
      <c r="C76" s="193">
        <v>7064546</v>
      </c>
      <c r="D76" s="193">
        <v>7133809</v>
      </c>
      <c r="E76" s="194"/>
    </row>
    <row r="77" spans="2:6" ht="15" customHeight="1">
      <c r="B77" s="207" t="s">
        <v>447</v>
      </c>
    </row>
    <row r="78" spans="2:6" ht="15" customHeight="1">
      <c r="B78" s="204" t="s">
        <v>448</v>
      </c>
      <c r="C78" s="193">
        <v>10105486</v>
      </c>
      <c r="D78" s="193">
        <v>10295578</v>
      </c>
      <c r="E78" s="205">
        <v>838600</v>
      </c>
    </row>
    <row r="79" spans="2:6" ht="15" customHeight="1">
      <c r="B79" s="208" t="s">
        <v>449</v>
      </c>
      <c r="E79" s="206">
        <f>E9-E78</f>
        <v>189559</v>
      </c>
    </row>
    <row r="80" spans="2:6" ht="15" customHeight="1">
      <c r="B80" s="184" t="s">
        <v>450</v>
      </c>
      <c r="C80" s="185"/>
      <c r="D80" s="185"/>
      <c r="E80" s="185"/>
      <c r="F80" s="185"/>
    </row>
    <row r="81" spans="2:6" ht="15" customHeight="1">
      <c r="B81" s="186"/>
      <c r="C81" s="187" t="s">
        <v>389</v>
      </c>
      <c r="D81" s="187" t="s">
        <v>390</v>
      </c>
      <c r="E81" s="187" t="s">
        <v>391</v>
      </c>
      <c r="F81" s="186"/>
    </row>
    <row r="82" spans="2:6" ht="15" customHeight="1">
      <c r="B82" s="190" t="s">
        <v>410</v>
      </c>
      <c r="C82" s="191">
        <v>130750</v>
      </c>
      <c r="D82" s="191">
        <v>25211</v>
      </c>
      <c r="E82" s="191">
        <v>155961</v>
      </c>
    </row>
    <row r="83" spans="2:6" ht="15" customHeight="1">
      <c r="B83" s="190" t="s">
        <v>393</v>
      </c>
      <c r="C83" s="191">
        <v>67097</v>
      </c>
      <c r="D83" s="191">
        <v>72161</v>
      </c>
      <c r="E83" s="191">
        <v>139257</v>
      </c>
    </row>
    <row r="84" spans="2:6" ht="15" customHeight="1">
      <c r="B84" s="190" t="s">
        <v>451</v>
      </c>
      <c r="C84" s="191">
        <v>22581</v>
      </c>
      <c r="D84" s="191">
        <v>-28707</v>
      </c>
      <c r="E84" s="191">
        <v>-6126</v>
      </c>
    </row>
    <row r="85" spans="2:6" ht="15" customHeight="1">
      <c r="B85" s="190" t="s">
        <v>403</v>
      </c>
      <c r="C85" s="191">
        <v>44147</v>
      </c>
      <c r="D85" s="191">
        <v>53305</v>
      </c>
      <c r="E85" s="191">
        <v>97452</v>
      </c>
    </row>
    <row r="86" spans="2:6" ht="15" customHeight="1">
      <c r="B86" s="190" t="s">
        <v>452</v>
      </c>
      <c r="C86" s="191">
        <v>2855</v>
      </c>
      <c r="D86" s="191">
        <v>2942</v>
      </c>
      <c r="E86" s="191">
        <v>5797</v>
      </c>
    </row>
    <row r="87" spans="2:6" ht="15" customHeight="1">
      <c r="B87" s="190" t="s">
        <v>400</v>
      </c>
      <c r="C87" s="191">
        <v>313</v>
      </c>
      <c r="D87" s="191">
        <v>680</v>
      </c>
      <c r="E87" s="191">
        <v>993</v>
      </c>
    </row>
    <row r="88" spans="2:6" ht="15" customHeight="1">
      <c r="B88" s="190" t="s">
        <v>402</v>
      </c>
      <c r="C88" s="191">
        <v>27987</v>
      </c>
      <c r="D88" s="191">
        <v>29514</v>
      </c>
      <c r="E88" s="191">
        <v>57501</v>
      </c>
    </row>
    <row r="89" spans="2:6" ht="15" customHeight="1">
      <c r="B89" s="190" t="s">
        <v>404</v>
      </c>
      <c r="C89" s="191">
        <v>-9993</v>
      </c>
      <c r="D89" s="191">
        <v>-7857</v>
      </c>
      <c r="E89" s="191">
        <v>-17849</v>
      </c>
    </row>
    <row r="90" spans="2:6" ht="15" customHeight="1">
      <c r="B90" s="190" t="s">
        <v>405</v>
      </c>
      <c r="C90" s="191">
        <v>-54466</v>
      </c>
      <c r="D90" s="191">
        <v>-20010</v>
      </c>
      <c r="E90" s="191">
        <v>-74476</v>
      </c>
    </row>
    <row r="91" spans="2:6" ht="15" customHeight="1">
      <c r="B91" s="190" t="s">
        <v>453</v>
      </c>
      <c r="C91" s="191">
        <v>-9961</v>
      </c>
      <c r="D91" s="191">
        <v>-17349</v>
      </c>
      <c r="E91" s="191">
        <v>-27310</v>
      </c>
    </row>
    <row r="92" spans="2:6" ht="15" customHeight="1">
      <c r="B92" s="190" t="s">
        <v>399</v>
      </c>
      <c r="C92" s="191">
        <v>-6684</v>
      </c>
      <c r="D92" s="191">
        <v>10480</v>
      </c>
      <c r="E92" s="191">
        <v>3796</v>
      </c>
    </row>
    <row r="93" spans="2:6" ht="15" customHeight="1">
      <c r="B93" s="190" t="s">
        <v>407</v>
      </c>
      <c r="C93" s="191">
        <v>-359</v>
      </c>
      <c r="D93" s="191">
        <v>-401</v>
      </c>
      <c r="E93" s="191">
        <v>-760</v>
      </c>
    </row>
    <row r="94" spans="2:6" ht="15" customHeight="1">
      <c r="B94" s="190" t="s">
        <v>409</v>
      </c>
      <c r="C94" s="191">
        <v>32152</v>
      </c>
      <c r="D94" s="191">
        <v>20716</v>
      </c>
      <c r="E94" s="191">
        <v>52868</v>
      </c>
    </row>
    <row r="95" spans="2:6" ht="15" customHeight="1">
      <c r="B95" s="190" t="s">
        <v>454</v>
      </c>
      <c r="C95" s="191">
        <v>9993</v>
      </c>
      <c r="D95" s="191">
        <v>8287</v>
      </c>
      <c r="E95" s="191">
        <v>18280</v>
      </c>
    </row>
    <row r="96" spans="2:6" ht="15" customHeight="1">
      <c r="B96" s="190" t="s">
        <v>455</v>
      </c>
      <c r="C96" s="191">
        <v>-177824</v>
      </c>
      <c r="D96" s="191">
        <v>-59084</v>
      </c>
      <c r="E96" s="191">
        <v>-236908</v>
      </c>
    </row>
    <row r="97" spans="2:6" ht="15" customHeight="1">
      <c r="B97" s="190" t="s">
        <v>456</v>
      </c>
      <c r="C97" s="191">
        <v>67507</v>
      </c>
      <c r="D97" s="191">
        <v>178552</v>
      </c>
      <c r="E97" s="191">
        <v>246059</v>
      </c>
    </row>
    <row r="98" spans="2:6" ht="15" customHeight="1">
      <c r="B98" s="190" t="s">
        <v>457</v>
      </c>
      <c r="C98" s="191">
        <v>-168371</v>
      </c>
      <c r="D98" s="191">
        <v>-23122</v>
      </c>
      <c r="E98" s="191">
        <v>-50416</v>
      </c>
    </row>
    <row r="99" spans="2:6" ht="15" customHeight="1">
      <c r="B99" s="190" t="s">
        <v>458</v>
      </c>
      <c r="C99" s="191">
        <v>0</v>
      </c>
      <c r="D99" s="191">
        <v>-114285</v>
      </c>
      <c r="E99" s="191">
        <v>-255362</v>
      </c>
    </row>
    <row r="100" spans="2:6" ht="15" customHeight="1">
      <c r="B100" s="192" t="s">
        <v>459</v>
      </c>
      <c r="C100" s="193">
        <v>-22276</v>
      </c>
      <c r="D100" s="193">
        <v>131033</v>
      </c>
      <c r="E100" s="193">
        <v>108757</v>
      </c>
      <c r="F100" s="194"/>
    </row>
    <row r="102" spans="2:6" ht="15" customHeight="1">
      <c r="B102" s="190" t="s">
        <v>460</v>
      </c>
      <c r="C102" s="191">
        <v>-77739</v>
      </c>
      <c r="D102" s="191">
        <v>-106494</v>
      </c>
      <c r="E102" s="191">
        <v>-184233</v>
      </c>
    </row>
    <row r="103" spans="2:6" ht="15" customHeight="1">
      <c r="B103" s="190" t="s">
        <v>461</v>
      </c>
      <c r="C103" s="191">
        <v>65000</v>
      </c>
      <c r="D103" s="191">
        <v>34603</v>
      </c>
      <c r="E103" s="191">
        <v>99603</v>
      </c>
    </row>
    <row r="104" spans="2:6" ht="15" customHeight="1">
      <c r="B104" s="190" t="s">
        <v>462</v>
      </c>
      <c r="C104" s="191">
        <v>0</v>
      </c>
      <c r="D104" s="191">
        <v>0</v>
      </c>
      <c r="E104" s="191">
        <v>0</v>
      </c>
    </row>
    <row r="105" spans="2:6" ht="15" customHeight="1">
      <c r="B105" s="190" t="s">
        <v>463</v>
      </c>
      <c r="C105" s="191">
        <v>0</v>
      </c>
      <c r="D105" s="191">
        <v>141</v>
      </c>
      <c r="E105" s="191">
        <v>141</v>
      </c>
    </row>
    <row r="106" spans="2:6" ht="15" customHeight="1">
      <c r="B106" s="192" t="s">
        <v>464</v>
      </c>
      <c r="C106" s="193">
        <v>-12739</v>
      </c>
      <c r="D106" s="193">
        <v>-71750</v>
      </c>
      <c r="E106" s="193">
        <v>-84489</v>
      </c>
      <c r="F106" s="194"/>
    </row>
    <row r="108" spans="2:6" ht="15" customHeight="1">
      <c r="B108" s="190" t="s">
        <v>465</v>
      </c>
      <c r="C108" s="191">
        <v>0</v>
      </c>
      <c r="D108" s="191">
        <v>0</v>
      </c>
      <c r="E108" s="191">
        <v>0</v>
      </c>
    </row>
    <row r="109" spans="2:6" ht="15" customHeight="1">
      <c r="B109" s="190" t="s">
        <v>466</v>
      </c>
      <c r="C109" s="191">
        <v>-4849</v>
      </c>
      <c r="D109" s="191">
        <v>-21477</v>
      </c>
      <c r="E109" s="191">
        <v>-26326</v>
      </c>
    </row>
    <row r="110" spans="2:6" ht="15" customHeight="1">
      <c r="B110" s="190" t="s">
        <v>467</v>
      </c>
      <c r="C110" s="191">
        <v>-677</v>
      </c>
      <c r="D110" s="191">
        <v>-1229</v>
      </c>
      <c r="E110" s="191">
        <v>-1906</v>
      </c>
    </row>
    <row r="111" spans="2:6" ht="15" customHeight="1">
      <c r="B111" s="190" t="s">
        <v>468</v>
      </c>
      <c r="C111" s="191">
        <v>1146</v>
      </c>
      <c r="D111" s="191">
        <v>0</v>
      </c>
      <c r="E111" s="191">
        <v>1146</v>
      </c>
    </row>
    <row r="112" spans="2:6" ht="15" customHeight="1">
      <c r="B112" s="190" t="s">
        <v>469</v>
      </c>
      <c r="C112" s="191">
        <v>0</v>
      </c>
      <c r="D112" s="191">
        <v>0</v>
      </c>
      <c r="E112" s="191">
        <v>0</v>
      </c>
    </row>
    <row r="113" spans="2:6" ht="15" customHeight="1">
      <c r="B113" s="192" t="s">
        <v>470</v>
      </c>
      <c r="C113" s="193">
        <v>-4380</v>
      </c>
      <c r="D113" s="193">
        <v>-22706</v>
      </c>
      <c r="E113" s="193">
        <v>-27086</v>
      </c>
      <c r="F113" s="194"/>
    </row>
    <row r="115" spans="2:6" ht="15" customHeight="1">
      <c r="B115" s="195" t="s">
        <v>471</v>
      </c>
      <c r="C115" s="191">
        <v>-39395</v>
      </c>
      <c r="D115" s="191">
        <v>36577</v>
      </c>
      <c r="E115" s="191">
        <v>-2818</v>
      </c>
    </row>
    <row r="116" spans="2:6" ht="15" customHeight="1">
      <c r="B116" s="195" t="s">
        <v>472</v>
      </c>
      <c r="C116" s="191">
        <v>-348</v>
      </c>
      <c r="D116" s="191">
        <v>1024</v>
      </c>
      <c r="E116" s="191">
        <v>676</v>
      </c>
    </row>
    <row r="117" spans="2:6" ht="15" customHeight="1">
      <c r="B117" s="195" t="s">
        <v>473</v>
      </c>
      <c r="C117" s="191">
        <v>1114860</v>
      </c>
      <c r="D117" s="191">
        <v>1075117</v>
      </c>
      <c r="E117" s="191">
        <v>1114860</v>
      </c>
    </row>
    <row r="118" spans="2:6" ht="15" customHeight="1">
      <c r="B118" s="192" t="s">
        <v>474</v>
      </c>
      <c r="C118" s="193">
        <v>1075117</v>
      </c>
      <c r="D118" s="193">
        <v>1112718</v>
      </c>
      <c r="E118" s="193">
        <v>1112718</v>
      </c>
      <c r="F118" s="194"/>
    </row>
    <row r="120" spans="2:6" ht="15" customHeight="1">
      <c r="B120" s="192" t="s">
        <v>475</v>
      </c>
      <c r="C120" s="193">
        <v>-100015</v>
      </c>
      <c r="D120" s="193">
        <v>24539</v>
      </c>
      <c r="E120" s="193">
        <v>-75476</v>
      </c>
      <c r="F120" s="194"/>
    </row>
    <row r="121" spans="2:6" ht="15" customHeight="1">
      <c r="B121" s="192"/>
      <c r="C121" s="193"/>
      <c r="D121" s="193"/>
      <c r="E121" s="193"/>
      <c r="F121" s="194"/>
    </row>
    <row r="122" spans="2:6" ht="15" customHeight="1">
      <c r="C122" s="209" t="s">
        <v>28</v>
      </c>
    </row>
    <row r="123" spans="2:6" ht="15" customHeight="1">
      <c r="C123" s="210"/>
    </row>
    <row r="124" spans="2:6" ht="15" customHeight="1">
      <c r="B124" s="27" t="s">
        <v>38</v>
      </c>
      <c r="C124" s="211"/>
    </row>
    <row r="125" spans="2:6" ht="15" customHeight="1">
      <c r="B125" s="29" t="s">
        <v>39</v>
      </c>
      <c r="C125" s="212">
        <f>'2026 Interim'!E7*2</f>
        <v>3318274</v>
      </c>
    </row>
    <row r="126" spans="2:6" ht="15" customHeight="1">
      <c r="B126" s="32" t="s">
        <v>476</v>
      </c>
      <c r="C126" s="213">
        <f>'2026 Interim'!E73*2</f>
        <v>2746070</v>
      </c>
    </row>
    <row r="127" spans="2:6" ht="15" customHeight="1">
      <c r="B127" s="32" t="s">
        <v>477</v>
      </c>
      <c r="C127" s="213">
        <f>'2026 Interim'!E74*2</f>
        <v>572000</v>
      </c>
    </row>
    <row r="128" spans="2:6" ht="15" customHeight="1">
      <c r="B128" s="35" t="s">
        <v>40</v>
      </c>
      <c r="C128" s="214" t="s">
        <v>41</v>
      </c>
    </row>
    <row r="129" spans="2:3" ht="15" customHeight="1">
      <c r="B129" s="38" t="s">
        <v>42</v>
      </c>
      <c r="C129" s="212">
        <f>SUM(C126:C128)</f>
        <v>3318070</v>
      </c>
    </row>
    <row r="130" spans="2:3" ht="15" customHeight="1">
      <c r="B130" s="3"/>
      <c r="C130" s="215"/>
    </row>
    <row r="131" spans="2:3" ht="15" customHeight="1">
      <c r="B131" s="42" t="s">
        <v>43</v>
      </c>
      <c r="C131" s="216"/>
    </row>
    <row r="132" spans="2:3" ht="15" customHeight="1">
      <c r="B132" s="32" t="s">
        <v>44</v>
      </c>
      <c r="C132" s="213">
        <f>'2026 Interim'!E9*2</f>
        <v>2056318</v>
      </c>
    </row>
    <row r="133" spans="2:3" ht="15" customHeight="1">
      <c r="B133" s="46" t="s">
        <v>45</v>
      </c>
      <c r="C133" s="213">
        <f>'2026 Interim'!E78*2</f>
        <v>1677200</v>
      </c>
    </row>
    <row r="134" spans="2:3" ht="15" customHeight="1">
      <c r="B134" s="46" t="s">
        <v>46</v>
      </c>
      <c r="C134" s="213">
        <f>'2026 Interim'!E79*2</f>
        <v>379118</v>
      </c>
    </row>
    <row r="135" spans="2:3" ht="15" customHeight="1">
      <c r="B135" s="35" t="s">
        <v>47</v>
      </c>
      <c r="C135" s="214">
        <f>'2026 Interim'!E10*2</f>
        <v>278514</v>
      </c>
    </row>
    <row r="136" spans="2:3" ht="15" customHeight="1">
      <c r="B136" s="38" t="s">
        <v>48</v>
      </c>
      <c r="C136" s="212">
        <f>SUM(C133:C135)</f>
        <v>2334832</v>
      </c>
    </row>
    <row r="137" spans="2:3" ht="15" customHeight="1">
      <c r="B137" s="49"/>
      <c r="C137" s="217"/>
    </row>
    <row r="138" spans="2:3" ht="15" customHeight="1">
      <c r="B138" s="38" t="s">
        <v>49</v>
      </c>
      <c r="C138" s="212">
        <f>C129-C136</f>
        <v>983238</v>
      </c>
    </row>
    <row r="139" spans="2:3" ht="15" customHeight="1">
      <c r="B139" s="3"/>
      <c r="C139" s="215"/>
    </row>
    <row r="140" spans="2:3" ht="15" customHeight="1">
      <c r="B140" s="42" t="s">
        <v>50</v>
      </c>
      <c r="C140" s="216"/>
    </row>
    <row r="141" spans="2:3" ht="15" customHeight="1">
      <c r="B141" s="32" t="s">
        <v>51</v>
      </c>
      <c r="C141" s="212">
        <f>'2026 Interim'!E14*2</f>
        <v>398910</v>
      </c>
    </row>
    <row r="142" spans="2:3" ht="15" customHeight="1">
      <c r="B142" s="32" t="s">
        <v>52</v>
      </c>
      <c r="C142" s="212">
        <f>'2026 Interim'!E15*2</f>
        <v>31782</v>
      </c>
    </row>
    <row r="143" spans="2:3" ht="15" customHeight="1">
      <c r="B143" s="32" t="s">
        <v>53</v>
      </c>
      <c r="C143" s="212">
        <f>'2026 Interim'!E16*2</f>
        <v>47220</v>
      </c>
    </row>
    <row r="144" spans="2:3" ht="15" customHeight="1">
      <c r="B144" s="32" t="s">
        <v>54</v>
      </c>
      <c r="C144" s="212">
        <f>'2026 Interim'!E17*2</f>
        <v>7592</v>
      </c>
    </row>
    <row r="145" spans="2:3" ht="15" customHeight="1">
      <c r="B145" s="32" t="s">
        <v>55</v>
      </c>
      <c r="C145" s="212">
        <f>'2026 Interim'!E18*2</f>
        <v>1986</v>
      </c>
    </row>
    <row r="146" spans="2:3" ht="15" customHeight="1">
      <c r="B146" s="49"/>
      <c r="C146" s="218"/>
    </row>
    <row r="147" spans="2:3" ht="15" customHeight="1">
      <c r="B147" s="38" t="s">
        <v>56</v>
      </c>
      <c r="C147" s="212">
        <f>C138-C141-C142-C143-C144-C145</f>
        <v>495748</v>
      </c>
    </row>
    <row r="148" spans="2:3" ht="15" customHeight="1">
      <c r="B148" s="3"/>
      <c r="C148" s="219"/>
    </row>
    <row r="149" spans="2:3" ht="15" customHeight="1">
      <c r="B149" s="42" t="s">
        <v>57</v>
      </c>
      <c r="C149" s="220"/>
    </row>
    <row r="150" spans="2:3" ht="15" customHeight="1">
      <c r="B150" s="32" t="s">
        <v>58</v>
      </c>
      <c r="C150" s="212">
        <f t="shared" ref="C150:C155" si="0">E21*2</f>
        <v>-115002</v>
      </c>
    </row>
    <row r="151" spans="2:3" ht="15" customHeight="1">
      <c r="B151" s="32" t="s">
        <v>59</v>
      </c>
      <c r="C151" s="212">
        <f t="shared" si="0"/>
        <v>-204082</v>
      </c>
    </row>
    <row r="152" spans="2:3" ht="15" customHeight="1">
      <c r="B152" s="32" t="s">
        <v>60</v>
      </c>
      <c r="C152" s="212">
        <f t="shared" si="0"/>
        <v>35698</v>
      </c>
    </row>
    <row r="153" spans="2:3" ht="15" customHeight="1">
      <c r="B153" s="32" t="s">
        <v>61</v>
      </c>
      <c r="C153" s="212">
        <f t="shared" si="0"/>
        <v>148952</v>
      </c>
    </row>
    <row r="154" spans="2:3" ht="15" customHeight="1">
      <c r="B154" s="32" t="s">
        <v>62</v>
      </c>
      <c r="C154" s="212">
        <f t="shared" si="0"/>
        <v>54620</v>
      </c>
    </row>
    <row r="155" spans="2:3" ht="15" customHeight="1">
      <c r="B155" s="32" t="s">
        <v>63</v>
      </c>
      <c r="C155" s="212">
        <f t="shared" si="0"/>
        <v>1520</v>
      </c>
    </row>
    <row r="156" spans="2:3" ht="15" customHeight="1">
      <c r="B156" s="49"/>
      <c r="C156" s="218"/>
    </row>
    <row r="157" spans="2:3" ht="15" customHeight="1">
      <c r="B157" s="38" t="s">
        <v>64</v>
      </c>
      <c r="C157" s="212">
        <f>SUM(C150:C155,C147)</f>
        <v>417454</v>
      </c>
    </row>
    <row r="158" spans="2:3" ht="15" customHeight="1">
      <c r="B158" s="3"/>
      <c r="C158" s="219"/>
    </row>
    <row r="159" spans="2:3" ht="15" customHeight="1">
      <c r="B159" s="32" t="s">
        <v>65</v>
      </c>
      <c r="C159" s="212">
        <f>'2026 Interim'!E29*2</f>
        <v>105736</v>
      </c>
    </row>
    <row r="160" spans="2:3" ht="15" customHeight="1">
      <c r="B160" s="49"/>
      <c r="C160" s="218"/>
    </row>
    <row r="161" spans="2:3" ht="15" customHeight="1">
      <c r="B161" s="38" t="s">
        <v>66</v>
      </c>
      <c r="C161" s="212">
        <f>C157-C159</f>
        <v>311718</v>
      </c>
    </row>
    <row r="162" spans="2:3" ht="15" customHeight="1">
      <c r="C162" s="212"/>
    </row>
    <row r="163" spans="2:3" ht="15" customHeight="1">
      <c r="C163" s="212"/>
    </row>
    <row r="164" spans="2:3" ht="15" customHeight="1">
      <c r="C164" s="212"/>
    </row>
    <row r="165" spans="2:3" ht="15" customHeight="1">
      <c r="C165" s="212"/>
    </row>
    <row r="166" spans="2:3" ht="15" customHeight="1">
      <c r="C166" s="212"/>
    </row>
    <row r="167" spans="2:3" ht="15" customHeight="1">
      <c r="C167" s="212"/>
    </row>
    <row r="168" spans="2:3" ht="15" customHeight="1">
      <c r="C168" s="212"/>
    </row>
    <row r="169" spans="2:3" ht="15" customHeight="1">
      <c r="C169" s="212"/>
    </row>
    <row r="170" spans="2:3" ht="15" customHeight="1">
      <c r="C170" s="183"/>
    </row>
    <row r="171" spans="2:3" ht="15" customHeight="1">
      <c r="C171" s="221"/>
    </row>
    <row r="172" spans="2:3" ht="15" customHeight="1">
      <c r="C172" s="212"/>
    </row>
    <row r="173" spans="2:3" ht="15" customHeight="1">
      <c r="C173" s="212"/>
    </row>
    <row r="174" spans="2:3" ht="15" customHeight="1">
      <c r="C174" s="183"/>
    </row>
    <row r="175" spans="2:3" ht="15" customHeight="1">
      <c r="C175" s="2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4"/>
  <sheetViews>
    <sheetView showGridLines="0" zoomScale="114" zoomScaleNormal="114" workbookViewId="0">
      <selection activeCell="B19" sqref="B19"/>
    </sheetView>
  </sheetViews>
  <sheetFormatPr baseColWidth="10" defaultColWidth="8.6640625" defaultRowHeight="15"/>
  <cols>
    <col min="1" max="1" width="42" customWidth="1"/>
    <col min="2" max="7" width="13" customWidth="1"/>
    <col min="8" max="8" width="4" customWidth="1"/>
  </cols>
  <sheetData>
    <row r="1" spans="1:8" ht="21.75" customHeight="1">
      <c r="A1" s="242" t="s">
        <v>478</v>
      </c>
      <c r="B1" s="242"/>
      <c r="C1" s="242"/>
      <c r="D1" s="242"/>
      <c r="E1" s="242"/>
      <c r="F1" s="242"/>
      <c r="G1" s="242"/>
    </row>
    <row r="2" spans="1:8" ht="6" customHeight="1"/>
    <row r="3" spans="1:8" ht="15.75" customHeight="1">
      <c r="A3" s="186"/>
      <c r="B3" s="222" t="s">
        <v>23</v>
      </c>
      <c r="C3" s="222" t="s">
        <v>24</v>
      </c>
      <c r="D3" s="222" t="s">
        <v>25</v>
      </c>
      <c r="E3" s="222" t="s">
        <v>26</v>
      </c>
      <c r="F3" s="222" t="s">
        <v>27</v>
      </c>
      <c r="G3" s="222" t="s">
        <v>217</v>
      </c>
      <c r="H3" s="186"/>
    </row>
    <row r="4" spans="1:8" ht="15.75" customHeight="1">
      <c r="A4" s="241" t="s">
        <v>479</v>
      </c>
      <c r="B4" s="241"/>
      <c r="C4" s="241"/>
      <c r="D4" s="241"/>
      <c r="E4" s="241"/>
      <c r="F4" s="241"/>
      <c r="G4" s="241"/>
      <c r="H4" s="185"/>
    </row>
    <row r="5" spans="1:8" ht="13.5" customHeight="1">
      <c r="A5" s="223" t="s">
        <v>480</v>
      </c>
      <c r="B5" s="224">
        <v>1055000</v>
      </c>
      <c r="C5" s="224">
        <v>1480000</v>
      </c>
      <c r="D5" s="224">
        <v>2152000</v>
      </c>
      <c r="E5" s="224">
        <v>2677000</v>
      </c>
      <c r="F5" s="224">
        <v>2874000</v>
      </c>
      <c r="G5" s="224">
        <v>1370000</v>
      </c>
    </row>
    <row r="6" spans="1:8" ht="12" customHeight="1">
      <c r="A6" s="225" t="s">
        <v>481</v>
      </c>
      <c r="C6" s="226">
        <f>IFERROR(C5/B5-1,"")</f>
        <v>0.40284360189573465</v>
      </c>
      <c r="D6" s="226">
        <f>IFERROR(D5/C5-1,"")</f>
        <v>0.45405405405405408</v>
      </c>
      <c r="E6" s="226">
        <f>IFERROR(E5/D5-1,"")</f>
        <v>0.24395910780669139</v>
      </c>
      <c r="F6" s="226">
        <f>IFERROR(F5/E5-1,"")</f>
        <v>7.3589839372431909E-2</v>
      </c>
      <c r="G6" s="226">
        <f>IFERROR(G5/F5-1,"")</f>
        <v>-0.52331245650661096</v>
      </c>
    </row>
    <row r="7" spans="1:8" ht="13.5" customHeight="1">
      <c r="A7" s="223" t="s">
        <v>482</v>
      </c>
      <c r="B7" s="227">
        <v>24.3</v>
      </c>
      <c r="C7" s="227">
        <v>25.6</v>
      </c>
      <c r="D7" s="227">
        <v>32</v>
      </c>
      <c r="E7" s="227">
        <v>33.6</v>
      </c>
      <c r="F7" s="227">
        <v>33</v>
      </c>
      <c r="G7" s="227">
        <v>14.9</v>
      </c>
    </row>
    <row r="8" spans="1:8" ht="12" customHeight="1">
      <c r="A8" s="225" t="s">
        <v>483</v>
      </c>
      <c r="C8" s="226">
        <f>IFERROR(C7/B7-1,"")</f>
        <v>5.3497942386831365E-2</v>
      </c>
      <c r="D8" s="226">
        <f>IFERROR(D7/C7-1,"")</f>
        <v>0.25</v>
      </c>
      <c r="E8" s="226">
        <f>IFERROR(E7/D7-1,"")</f>
        <v>5.0000000000000044E-2</v>
      </c>
      <c r="F8" s="226">
        <f>IFERROR(F7/E7-1,"")</f>
        <v>-1.7857142857142905E-2</v>
      </c>
      <c r="G8" s="226">
        <f>IFERROR(G7/F7-1,"")</f>
        <v>-0.54848484848484846</v>
      </c>
    </row>
    <row r="9" spans="1:8" ht="13.5" customHeight="1">
      <c r="A9" s="223" t="s">
        <v>484</v>
      </c>
      <c r="B9" s="228">
        <v>43.34</v>
      </c>
      <c r="C9" s="228">
        <v>57.85</v>
      </c>
      <c r="D9" s="228">
        <v>67.31</v>
      </c>
      <c r="E9" s="228">
        <v>79.7</v>
      </c>
      <c r="F9" s="228">
        <v>87</v>
      </c>
      <c r="G9" s="228">
        <v>92.15</v>
      </c>
    </row>
    <row r="10" spans="1:8" ht="12" customHeight="1">
      <c r="A10" s="225" t="s">
        <v>485</v>
      </c>
      <c r="C10" s="226">
        <f>IFERROR(C9/B9-1,"")</f>
        <v>0.33479464697738792</v>
      </c>
      <c r="D10" s="226">
        <f>IFERROR(D9/C9-1,"")</f>
        <v>0.1635263612791702</v>
      </c>
      <c r="E10" s="226">
        <f>IFERROR(E9/D9-1,"")</f>
        <v>0.18407368890209486</v>
      </c>
      <c r="F10" s="226">
        <f>IFERROR(F9/E9-1,"")</f>
        <v>9.1593475533249702E-2</v>
      </c>
      <c r="G10" s="226">
        <f>IFERROR(G9/F9-1,"")</f>
        <v>5.9195402298850563E-2</v>
      </c>
    </row>
    <row r="11" spans="1:8" ht="13.5" customHeight="1">
      <c r="A11" s="223" t="s">
        <v>486</v>
      </c>
      <c r="B11" s="228">
        <v>34.53</v>
      </c>
      <c r="C11" s="228">
        <v>44.73</v>
      </c>
      <c r="D11" s="228">
        <v>49.76</v>
      </c>
      <c r="E11" s="228">
        <v>58.34</v>
      </c>
      <c r="F11" s="228">
        <v>62.11</v>
      </c>
      <c r="G11" s="229" t="s">
        <v>487</v>
      </c>
    </row>
    <row r="12" spans="1:8" ht="12" customHeight="1">
      <c r="A12" s="225" t="s">
        <v>488</v>
      </c>
      <c r="C12" s="226">
        <f>IFERROR(C11/B11-1,"")</f>
        <v>0.29539530842745432</v>
      </c>
      <c r="D12" s="226">
        <f>IFERROR(D11/C11-1,"")</f>
        <v>0.11245249273418301</v>
      </c>
      <c r="E12" s="226">
        <f>IFERROR(E11/D11-1,"")</f>
        <v>0.172427652733119</v>
      </c>
      <c r="F12" s="226">
        <f>IFERROR(F11/E11-1,"")</f>
        <v>6.462118615015422E-2</v>
      </c>
    </row>
    <row r="13" spans="1:8" ht="13.5" customHeight="1">
      <c r="A13" s="223" t="s">
        <v>489</v>
      </c>
      <c r="B13" s="230" t="s">
        <v>487</v>
      </c>
      <c r="C13" s="230" t="s">
        <v>487</v>
      </c>
      <c r="D13" s="224">
        <v>606</v>
      </c>
      <c r="E13" s="224">
        <v>904</v>
      </c>
      <c r="F13" s="224">
        <v>954</v>
      </c>
      <c r="G13" s="224">
        <v>528</v>
      </c>
    </row>
    <row r="14" spans="1:8" ht="13.5" customHeight="1">
      <c r="A14" s="223" t="s">
        <v>490</v>
      </c>
      <c r="B14" s="230" t="s">
        <v>487</v>
      </c>
      <c r="C14" s="224">
        <v>380</v>
      </c>
      <c r="D14" s="224">
        <v>835</v>
      </c>
      <c r="E14" s="224">
        <v>1179</v>
      </c>
      <c r="F14" s="224">
        <v>1255</v>
      </c>
      <c r="G14" s="224">
        <v>676</v>
      </c>
    </row>
    <row r="15" spans="1:8" ht="13.5" customHeight="1">
      <c r="A15" s="223" t="s">
        <v>491</v>
      </c>
      <c r="C15" s="231">
        <f>IFERROR(C14/C5,"")</f>
        <v>2.5675675675675678E-4</v>
      </c>
      <c r="D15" s="231">
        <f>IFERROR(D14/D5,"")</f>
        <v>3.8801115241635689E-4</v>
      </c>
      <c r="E15" s="231">
        <f>IFERROR(E14/E5,"")</f>
        <v>4.404183787822189E-4</v>
      </c>
      <c r="F15" s="231">
        <f>IFERROR(F14/F5,"")</f>
        <v>4.3667362560890745E-4</v>
      </c>
      <c r="G15" s="231">
        <f>IFERROR(G14/G5,"")</f>
        <v>4.9343065693430654E-4</v>
      </c>
    </row>
    <row r="16" spans="1:8" ht="7.5" customHeight="1"/>
    <row r="17" spans="1:8" ht="15.75" customHeight="1">
      <c r="A17" s="241" t="s">
        <v>492</v>
      </c>
      <c r="B17" s="241"/>
      <c r="C17" s="241"/>
      <c r="D17" s="241"/>
      <c r="E17" s="241"/>
      <c r="F17" s="241"/>
      <c r="G17" s="241"/>
      <c r="H17" s="185"/>
    </row>
    <row r="18" spans="1:8" ht="13.5" customHeight="1">
      <c r="A18" s="223" t="s">
        <v>480</v>
      </c>
      <c r="B18" s="224">
        <v>404000</v>
      </c>
      <c r="C18" s="224">
        <v>365000</v>
      </c>
      <c r="D18" s="224">
        <v>426000</v>
      </c>
      <c r="E18" s="224">
        <v>459000</v>
      </c>
      <c r="F18" s="224">
        <v>562000</v>
      </c>
      <c r="G18" s="224">
        <v>286000</v>
      </c>
    </row>
    <row r="19" spans="1:8" ht="12" customHeight="1">
      <c r="A19" s="225" t="s">
        <v>481</v>
      </c>
      <c r="C19" s="226">
        <f>IFERROR(C18/B18-1,"")</f>
        <v>-9.6534653465346509E-2</v>
      </c>
      <c r="D19" s="226">
        <f>IFERROR(D18/C18-1,"")</f>
        <v>0.16712328767123297</v>
      </c>
      <c r="E19" s="226">
        <f>IFERROR(E18/D18-1,"")</f>
        <v>7.7464788732394263E-2</v>
      </c>
      <c r="F19" s="226">
        <f>IFERROR(F18/E18-1,"")</f>
        <v>0.22440087145969501</v>
      </c>
      <c r="G19" s="226">
        <f>IFERROR(G18/F18-1,"")</f>
        <v>-0.49110320284697506</v>
      </c>
    </row>
    <row r="20" spans="1:8" ht="13.5" customHeight="1">
      <c r="A20" s="223" t="s">
        <v>493</v>
      </c>
      <c r="B20" s="227">
        <v>13.6</v>
      </c>
      <c r="C20" s="227">
        <v>11.1</v>
      </c>
      <c r="D20" s="227">
        <v>12</v>
      </c>
      <c r="E20" s="227">
        <v>12.1</v>
      </c>
      <c r="F20" s="227">
        <v>13.1</v>
      </c>
      <c r="G20" s="227">
        <v>6.4</v>
      </c>
    </row>
    <row r="21" spans="1:8" ht="12" customHeight="1">
      <c r="A21" s="225" t="s">
        <v>483</v>
      </c>
      <c r="C21" s="226">
        <f>IFERROR(C20/B20-1,"")</f>
        <v>-0.18382352941176472</v>
      </c>
      <c r="D21" s="226">
        <f>IFERROR(D20/C20-1,"")</f>
        <v>8.1081081081081141E-2</v>
      </c>
      <c r="E21" s="226">
        <f>IFERROR(E20/D20-1,"")</f>
        <v>8.3333333333333037E-3</v>
      </c>
      <c r="F21" s="226">
        <f>IFERROR(F20/E20-1,"")</f>
        <v>8.2644628099173501E-2</v>
      </c>
      <c r="G21" s="226">
        <f>IFERROR(G20/F20-1,"")</f>
        <v>-0.51145038167938928</v>
      </c>
    </row>
    <row r="22" spans="1:8" ht="13.5" customHeight="1">
      <c r="A22" s="223" t="s">
        <v>494</v>
      </c>
      <c r="B22" s="228">
        <v>29.72</v>
      </c>
      <c r="C22" s="228">
        <v>32.92</v>
      </c>
      <c r="D22" s="228">
        <v>35.61</v>
      </c>
      <c r="E22" s="228">
        <v>37.869999999999997</v>
      </c>
      <c r="F22" s="228">
        <v>43.04</v>
      </c>
      <c r="G22" s="228">
        <v>44.62</v>
      </c>
    </row>
    <row r="23" spans="1:8" ht="12" customHeight="1">
      <c r="A23" s="225" t="s">
        <v>495</v>
      </c>
      <c r="C23" s="226">
        <f>IFERROR(C22/B22-1,"")</f>
        <v>0.10767160161507405</v>
      </c>
      <c r="D23" s="226">
        <f>IFERROR(D22/C22-1,"")</f>
        <v>8.1713244228432513E-2</v>
      </c>
      <c r="E23" s="226">
        <f>IFERROR(E22/D22-1,"")</f>
        <v>6.3465318730693498E-2</v>
      </c>
      <c r="F23" s="226">
        <f>IFERROR(F22/E22-1,"")</f>
        <v>0.13651967256403497</v>
      </c>
      <c r="G23" s="226">
        <f>IFERROR(G22/F22-1,"")</f>
        <v>3.67100371747211E-2</v>
      </c>
    </row>
    <row r="24" spans="1:8" ht="13.5" customHeight="1">
      <c r="A24" s="223" t="s">
        <v>489</v>
      </c>
      <c r="B24" s="230" t="s">
        <v>487</v>
      </c>
      <c r="C24" s="230" t="s">
        <v>487</v>
      </c>
      <c r="D24" s="224">
        <v>129</v>
      </c>
      <c r="E24" s="224">
        <v>108</v>
      </c>
      <c r="F24" s="224">
        <v>179</v>
      </c>
      <c r="G24" s="224">
        <v>75</v>
      </c>
    </row>
    <row r="25" spans="1:8" ht="13.5" customHeight="1">
      <c r="A25" s="223" t="s">
        <v>490</v>
      </c>
      <c r="B25" s="230" t="s">
        <v>487</v>
      </c>
      <c r="C25" s="224">
        <v>153</v>
      </c>
      <c r="D25" s="224">
        <v>164</v>
      </c>
      <c r="E25" s="224">
        <v>145</v>
      </c>
      <c r="F25" s="224">
        <v>219</v>
      </c>
      <c r="G25" s="224">
        <v>97</v>
      </c>
    </row>
    <row r="26" spans="1:8" ht="13.5" customHeight="1">
      <c r="A26" s="223" t="s">
        <v>491</v>
      </c>
      <c r="C26" s="231">
        <f>IFERROR(C25/C18,"")</f>
        <v>4.1917808219178081E-4</v>
      </c>
      <c r="D26" s="231">
        <f>IFERROR(D25/D18,"")</f>
        <v>3.8497652582159626E-4</v>
      </c>
      <c r="E26" s="231">
        <f>IFERROR(E25/E18,"")</f>
        <v>3.1590413943355117E-4</v>
      </c>
      <c r="F26" s="231">
        <f>IFERROR(F25/F18,"")</f>
        <v>3.896797153024911E-4</v>
      </c>
      <c r="G26" s="231">
        <f>IFERROR(G25/G18,"")</f>
        <v>3.3916083916083915E-4</v>
      </c>
    </row>
    <row r="27" spans="1:8" ht="7.5" customHeight="1"/>
    <row r="28" spans="1:8" ht="15.75" customHeight="1">
      <c r="A28" s="241" t="s">
        <v>496</v>
      </c>
      <c r="B28" s="241"/>
      <c r="C28" s="241"/>
      <c r="D28" s="241"/>
      <c r="E28" s="241"/>
      <c r="F28" s="241"/>
      <c r="G28" s="241"/>
      <c r="H28" s="185"/>
    </row>
    <row r="29" spans="1:8" ht="12.75" customHeight="1">
      <c r="A29" s="243" t="s">
        <v>497</v>
      </c>
      <c r="B29" s="243"/>
      <c r="C29" s="243"/>
      <c r="D29" s="243"/>
      <c r="E29" s="243"/>
      <c r="F29" s="243"/>
      <c r="G29" s="243"/>
    </row>
    <row r="30" spans="1:8" ht="13.5" customHeight="1">
      <c r="A30" s="223" t="s">
        <v>498</v>
      </c>
      <c r="B30" s="230" t="s">
        <v>499</v>
      </c>
      <c r="C30" s="230" t="s">
        <v>499</v>
      </c>
      <c r="D30" s="224">
        <v>1063</v>
      </c>
      <c r="E30" s="224">
        <v>2892</v>
      </c>
      <c r="F30" s="224">
        <v>3458</v>
      </c>
      <c r="G30" s="224">
        <v>1731</v>
      </c>
    </row>
    <row r="31" spans="1:8" ht="13.5" customHeight="1">
      <c r="A31" s="223" t="s">
        <v>500</v>
      </c>
      <c r="B31" s="230" t="s">
        <v>499</v>
      </c>
      <c r="C31" s="230" t="s">
        <v>499</v>
      </c>
      <c r="D31" s="224">
        <v>101</v>
      </c>
      <c r="E31" s="224">
        <v>483</v>
      </c>
      <c r="F31" s="224">
        <v>780</v>
      </c>
      <c r="G31" s="224">
        <v>284</v>
      </c>
    </row>
    <row r="32" spans="1:8" ht="12" customHeight="1">
      <c r="A32" s="225" t="s">
        <v>501</v>
      </c>
      <c r="D32" s="226">
        <f>IFERROR(E31/D31-1,"")</f>
        <v>3.782178217821782</v>
      </c>
      <c r="E32" s="226">
        <f>IFERROR(F31/E31-1,"")</f>
        <v>0.61490683229813659</v>
      </c>
      <c r="F32" s="226">
        <f>IFERROR(G31/F31-1,"")</f>
        <v>-0.63589743589743586</v>
      </c>
    </row>
    <row r="33" spans="1:8" ht="13.5" customHeight="1">
      <c r="A33" s="223" t="s">
        <v>502</v>
      </c>
      <c r="B33" s="230" t="s">
        <v>499</v>
      </c>
      <c r="C33" s="230" t="s">
        <v>499</v>
      </c>
      <c r="D33" s="224">
        <v>-24</v>
      </c>
      <c r="E33" s="224">
        <v>-218</v>
      </c>
      <c r="F33" s="224">
        <v>58</v>
      </c>
      <c r="G33" s="224">
        <v>-56</v>
      </c>
    </row>
    <row r="34" spans="1:8" ht="7.5" customHeight="1"/>
    <row r="35" spans="1:8" ht="15.75" customHeight="1">
      <c r="A35" s="241" t="s">
        <v>503</v>
      </c>
      <c r="B35" s="241"/>
      <c r="C35" s="241"/>
      <c r="D35" s="241"/>
      <c r="E35" s="241"/>
      <c r="F35" s="241"/>
      <c r="G35" s="241"/>
      <c r="H35" s="185"/>
    </row>
    <row r="36" spans="1:8" ht="13.5" customHeight="1">
      <c r="A36" s="223" t="s">
        <v>476</v>
      </c>
      <c r="B36" s="232">
        <f t="shared" ref="B36:G36" si="0">B5</f>
        <v>1055000</v>
      </c>
      <c r="C36" s="232">
        <f t="shared" si="0"/>
        <v>1480000</v>
      </c>
      <c r="D36" s="232">
        <f t="shared" si="0"/>
        <v>2152000</v>
      </c>
      <c r="E36" s="232">
        <f t="shared" si="0"/>
        <v>2677000</v>
      </c>
      <c r="F36" s="232">
        <f t="shared" si="0"/>
        <v>2874000</v>
      </c>
      <c r="G36" s="232">
        <f t="shared" si="0"/>
        <v>1370000</v>
      </c>
    </row>
    <row r="37" spans="1:8" ht="13.5" customHeight="1">
      <c r="A37" s="223" t="s">
        <v>504</v>
      </c>
      <c r="B37" s="232">
        <f t="shared" ref="B37:G37" si="1">B18</f>
        <v>404000</v>
      </c>
      <c r="C37" s="232">
        <f t="shared" si="1"/>
        <v>365000</v>
      </c>
      <c r="D37" s="232">
        <f t="shared" si="1"/>
        <v>426000</v>
      </c>
      <c r="E37" s="232">
        <f t="shared" si="1"/>
        <v>459000</v>
      </c>
      <c r="F37" s="232">
        <f t="shared" si="1"/>
        <v>562000</v>
      </c>
      <c r="G37" s="232">
        <f t="shared" si="1"/>
        <v>286000</v>
      </c>
    </row>
    <row r="38" spans="1:8" ht="13.5" customHeight="1">
      <c r="A38" s="233" t="s">
        <v>505</v>
      </c>
      <c r="B38" s="234">
        <f t="shared" ref="B38:G38" si="2">B36+B37</f>
        <v>1459000</v>
      </c>
      <c r="C38" s="234">
        <f t="shared" si="2"/>
        <v>1845000</v>
      </c>
      <c r="D38" s="234">
        <f t="shared" si="2"/>
        <v>2578000</v>
      </c>
      <c r="E38" s="234">
        <f t="shared" si="2"/>
        <v>3136000</v>
      </c>
      <c r="F38" s="234">
        <f t="shared" si="2"/>
        <v>3436000</v>
      </c>
      <c r="G38" s="234">
        <f t="shared" si="2"/>
        <v>1656000</v>
      </c>
    </row>
    <row r="39" spans="1:8" ht="12" customHeight="1">
      <c r="A39" s="225" t="s">
        <v>481</v>
      </c>
      <c r="C39" s="235">
        <f>IFERROR(C38/B38-1,"")</f>
        <v>0.26456477039067861</v>
      </c>
      <c r="D39" s="235">
        <f>IFERROR(D38/C38-1,"")</f>
        <v>0.397289972899729</v>
      </c>
      <c r="E39" s="235">
        <f>IFERROR(E38/D38-1,"")</f>
        <v>0.21644685802948027</v>
      </c>
      <c r="F39" s="235">
        <f>IFERROR(F38/E38-1,"")</f>
        <v>9.5663265306122458E-2</v>
      </c>
      <c r="G39" s="235">
        <f>IFERROR(G38/F38-1,"")</f>
        <v>-0.51804423748544814</v>
      </c>
    </row>
    <row r="40" spans="1:8" ht="12" customHeight="1">
      <c r="A40" s="225" t="s">
        <v>506</v>
      </c>
      <c r="B40" s="236">
        <f t="shared" ref="B40:G40" si="3">IFERROR(B36/B38,"")</f>
        <v>0.72309801233721727</v>
      </c>
      <c r="C40" s="236">
        <f t="shared" si="3"/>
        <v>0.80216802168021684</v>
      </c>
      <c r="D40" s="236">
        <f t="shared" si="3"/>
        <v>0.83475562451512797</v>
      </c>
      <c r="E40" s="236">
        <f t="shared" si="3"/>
        <v>0.85363520408163263</v>
      </c>
      <c r="F40" s="236">
        <f t="shared" si="3"/>
        <v>0.83643771827706637</v>
      </c>
      <c r="G40" s="236">
        <f t="shared" si="3"/>
        <v>0.82729468599033817</v>
      </c>
    </row>
    <row r="41" spans="1:8" ht="12" customHeight="1">
      <c r="A41" s="225" t="s">
        <v>507</v>
      </c>
      <c r="B41" s="236">
        <f t="shared" ref="B41:G41" si="4">IFERROR(B37/B38,"")</f>
        <v>0.27690198766278273</v>
      </c>
      <c r="C41" s="236">
        <f t="shared" si="4"/>
        <v>0.19783197831978319</v>
      </c>
      <c r="D41" s="236">
        <f t="shared" si="4"/>
        <v>0.165244375484872</v>
      </c>
      <c r="E41" s="236">
        <f t="shared" si="4"/>
        <v>0.14636479591836735</v>
      </c>
      <c r="F41" s="236">
        <f t="shared" si="4"/>
        <v>0.16356228172293363</v>
      </c>
      <c r="G41" s="236">
        <f t="shared" si="4"/>
        <v>0.17270531400966183</v>
      </c>
    </row>
    <row r="42" spans="1:8" ht="7.5" customHeight="1"/>
    <row r="43" spans="1:8" ht="15.75" customHeight="1">
      <c r="A43" s="241" t="s">
        <v>508</v>
      </c>
      <c r="B43" s="241"/>
      <c r="C43" s="241"/>
      <c r="D43" s="241"/>
      <c r="E43" s="241"/>
      <c r="F43" s="241"/>
      <c r="G43" s="241"/>
      <c r="H43" s="185"/>
    </row>
    <row r="44" spans="1:8" ht="13.5" customHeight="1">
      <c r="A44" s="223" t="s">
        <v>509</v>
      </c>
      <c r="B44" s="228">
        <v>1.26</v>
      </c>
      <c r="C44" s="228">
        <v>1.29</v>
      </c>
      <c r="D44" s="228">
        <v>1.35</v>
      </c>
      <c r="E44" s="228">
        <v>1.37</v>
      </c>
      <c r="F44" s="228">
        <v>1.4</v>
      </c>
      <c r="G44" s="229" t="s">
        <v>487</v>
      </c>
    </row>
  </sheetData>
  <mergeCells count="7">
    <mergeCell ref="A35:G35"/>
    <mergeCell ref="A43:G43"/>
    <mergeCell ref="A1:G1"/>
    <mergeCell ref="A4:G4"/>
    <mergeCell ref="A17:G17"/>
    <mergeCell ref="A28:G28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Income Statement</vt:lpstr>
      <vt:lpstr>Balance Sheet</vt:lpstr>
      <vt:lpstr>Cash Flow</vt:lpstr>
      <vt:lpstr>DCF</vt:lpstr>
      <vt:lpstr>Uranium Spot Rate</vt:lpstr>
      <vt:lpstr>Westinghouse</vt:lpstr>
      <vt:lpstr>Assumptions</vt:lpstr>
      <vt:lpstr>2026 Interim</vt:lpstr>
      <vt:lpstr>Segment 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Soetedja, Nixon</cp:lastModifiedBy>
  <cp:revision>0</cp:revision>
  <dcterms:created xsi:type="dcterms:W3CDTF">2026-08-27T21:17:41Z</dcterms:created>
  <dcterms:modified xsi:type="dcterms:W3CDTF">2026-08-30T21:16:08Z</dcterms:modified>
  <dc:language>en-US</dc:language>
</cp:coreProperties>
</file>